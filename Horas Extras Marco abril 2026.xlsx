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3.xml" ContentType="application/vnd.ms-excel.person+xml"/>
  <Override PartName="/xl/persons/person2.xml" ContentType="application/vnd.ms-excel.person+xml"/>
  <Override PartName="/xl/persons/person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irat\OneDrive\Documentos\"/>
    </mc:Choice>
  </mc:AlternateContent>
  <xr:revisionPtr revIDLastSave="0" documentId="8_{47EE4F5F-3ECD-4C59-8A38-19235E0DFE64}" xr6:coauthVersionLast="47" xr6:coauthVersionMax="47" xr10:uidLastSave="{00000000-0000-0000-0000-000000000000}"/>
  <bookViews>
    <workbookView xWindow="-120" yWindow="-120" windowWidth="29040" windowHeight="15720" tabRatio="745" xr2:uid="{00000000-000D-0000-FFFF-FFFF00000000}"/>
  </bookViews>
  <sheets>
    <sheet name="Ho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K17" i="1"/>
  <c r="M17" i="1" s="1"/>
  <c r="L17" i="1"/>
  <c r="K24" i="1"/>
  <c r="L24" i="1" s="1"/>
  <c r="M24" i="1"/>
  <c r="K29" i="1"/>
  <c r="L29" i="1" s="1"/>
  <c r="K31" i="1"/>
  <c r="L31" i="1" s="1"/>
  <c r="K38" i="1"/>
  <c r="L38" i="1" s="1"/>
  <c r="K32" i="1"/>
  <c r="L32" i="1" s="1"/>
  <c r="K33" i="1"/>
  <c r="M33" i="1" s="1"/>
  <c r="K34" i="1"/>
  <c r="L34" i="1" s="1"/>
  <c r="K15" i="1"/>
  <c r="L15" i="1" s="1"/>
  <c r="K36" i="1"/>
  <c r="L36" i="1" s="1"/>
  <c r="K22" i="1"/>
  <c r="L22" i="1" s="1"/>
  <c r="K37" i="1"/>
  <c r="L37" i="1" s="1"/>
  <c r="K41" i="1"/>
  <c r="M41" i="1" s="1"/>
  <c r="K30" i="1"/>
  <c r="M30" i="1" s="1"/>
  <c r="K23" i="1"/>
  <c r="L23" i="1" s="1"/>
  <c r="K16" i="1"/>
  <c r="L16" i="1" s="1"/>
  <c r="K40" i="1"/>
  <c r="M40" i="1" s="1"/>
  <c r="K26" i="1"/>
  <c r="M26" i="1" s="1"/>
  <c r="K19" i="1"/>
  <c r="L19" i="1" s="1"/>
  <c r="K12" i="1"/>
  <c r="M12" i="1" s="1"/>
  <c r="L40" i="1" l="1"/>
  <c r="N40" i="1" s="1"/>
  <c r="L41" i="1"/>
  <c r="N41" i="1" s="1"/>
  <c r="O42" i="1" s="1"/>
  <c r="M29" i="1"/>
  <c r="N29" i="1"/>
  <c r="N24" i="1"/>
  <c r="N17" i="1"/>
  <c r="M31" i="1"/>
  <c r="N31" i="1" s="1"/>
  <c r="M38" i="1"/>
  <c r="N38" i="1" s="1"/>
  <c r="M32" i="1"/>
  <c r="N32" i="1" s="1"/>
  <c r="L33" i="1"/>
  <c r="N33" i="1" s="1"/>
  <c r="M34" i="1"/>
  <c r="N34" i="1" s="1"/>
  <c r="M15" i="1"/>
  <c r="N15" i="1" s="1"/>
  <c r="M36" i="1"/>
  <c r="N36" i="1" s="1"/>
  <c r="M22" i="1"/>
  <c r="N22" i="1" s="1"/>
  <c r="M23" i="1"/>
  <c r="N23" i="1" s="1"/>
  <c r="L30" i="1"/>
  <c r="N30" i="1" s="1"/>
  <c r="M37" i="1"/>
  <c r="N37" i="1" s="1"/>
  <c r="M16" i="1"/>
  <c r="N16" i="1" s="1"/>
  <c r="L26" i="1"/>
  <c r="N26" i="1" s="1"/>
  <c r="M19" i="1"/>
  <c r="N19" i="1" s="1"/>
  <c r="L12" i="1"/>
  <c r="N12" i="1" s="1"/>
  <c r="K13" i="1"/>
  <c r="L13" i="1" s="1"/>
  <c r="K27" i="1"/>
  <c r="L27" i="1" s="1"/>
  <c r="K39" i="1"/>
  <c r="L39" i="1" s="1"/>
  <c r="K25" i="1"/>
  <c r="L25" i="1" s="1"/>
  <c r="K35" i="1"/>
  <c r="L35" i="1" s="1"/>
  <c r="K20" i="1"/>
  <c r="L20" i="1" s="1"/>
  <c r="P45" i="1"/>
  <c r="K42" i="1"/>
  <c r="M42" i="1" s="1"/>
  <c r="K28" i="1"/>
  <c r="M28" i="1" s="1"/>
  <c r="K21" i="1"/>
  <c r="M21" i="1" s="1"/>
  <c r="N87" i="1"/>
  <c r="Q85" i="1"/>
  <c r="Q87" i="1" s="1"/>
  <c r="Q81" i="1"/>
  <c r="Q83" i="1" s="1"/>
  <c r="Q89" i="1" s="1"/>
  <c r="P78" i="1"/>
  <c r="N78" i="1"/>
  <c r="P77" i="1"/>
  <c r="N73" i="1"/>
  <c r="L71" i="1"/>
  <c r="Q70" i="1"/>
  <c r="O70" i="1"/>
  <c r="L70" i="1"/>
  <c r="L73" i="1" s="1"/>
  <c r="P69" i="1"/>
  <c r="P70" i="1" s="1"/>
  <c r="R67" i="1"/>
  <c r="N67" i="1"/>
  <c r="G67" i="1"/>
  <c r="G68" i="1" s="1"/>
  <c r="O66" i="1"/>
  <c r="P65" i="1"/>
  <c r="O65" i="1"/>
  <c r="Q64" i="1"/>
  <c r="Q67" i="1" s="1"/>
  <c r="L64" i="1"/>
  <c r="K64" i="1"/>
  <c r="L63" i="1"/>
  <c r="K63" i="1"/>
  <c r="K18" i="1"/>
  <c r="M18" i="1" s="1"/>
  <c r="K14" i="1"/>
  <c r="M14" i="1" s="1"/>
  <c r="K11" i="1"/>
  <c r="M11" i="1" s="1"/>
  <c r="L67" i="1" l="1"/>
  <c r="M13" i="1"/>
  <c r="N13" i="1" s="1"/>
  <c r="M27" i="1"/>
  <c r="N27" i="1" s="1"/>
  <c r="M39" i="1"/>
  <c r="N39" i="1" s="1"/>
  <c r="M25" i="1"/>
  <c r="N25" i="1" s="1"/>
  <c r="N89" i="1"/>
  <c r="M35" i="1"/>
  <c r="N35" i="1" s="1"/>
  <c r="O35" i="1" s="1"/>
  <c r="M20" i="1"/>
  <c r="N20" i="1" s="1"/>
  <c r="L42" i="1"/>
  <c r="N42" i="1" s="1"/>
  <c r="L28" i="1"/>
  <c r="N28" i="1" s="1"/>
  <c r="L21" i="1"/>
  <c r="N21" i="1" s="1"/>
  <c r="P71" i="1"/>
  <c r="P72" i="1" s="1"/>
  <c r="L75" i="1"/>
  <c r="L11" i="1"/>
  <c r="N11" i="1" s="1"/>
  <c r="L14" i="1"/>
  <c r="N14" i="1" s="1"/>
  <c r="O14" i="1" s="1"/>
  <c r="L77" i="1"/>
  <c r="L18" i="1"/>
  <c r="N18" i="1" s="1"/>
  <c r="O21" i="1" s="1"/>
  <c r="L84" i="1"/>
  <c r="L87" i="1" s="1"/>
  <c r="Q28" i="1" l="1"/>
  <c r="Q21" i="1"/>
  <c r="Q35" i="1"/>
  <c r="N45" i="1"/>
  <c r="L78" i="1"/>
  <c r="L89" i="1" s="1"/>
  <c r="O45" i="1" l="1"/>
  <c r="Q42" i="1"/>
  <c r="Q14" i="1"/>
  <c r="Q45" i="1" l="1"/>
</calcChain>
</file>

<file path=xl/sharedStrings.xml><?xml version="1.0" encoding="utf-8"?>
<sst xmlns="http://schemas.openxmlformats.org/spreadsheetml/2006/main" count="86" uniqueCount="50">
  <si>
    <t>EMELNOR S.A.</t>
  </si>
  <si>
    <t>CONVENIO Y CONTROL DE HORAS EXTRAORDINARIAS</t>
  </si>
  <si>
    <t xml:space="preserve">En  Antofagasta a        </t>
  </si>
  <si>
    <t>se suscribe  el  presente convenio , mediante el cual el trabajador acuerda laborar horas   extraordinarias, de acuerdo a</t>
  </si>
  <si>
    <t>Periodo de  Vigencia del Convenio: 10/09/2013 al 15/10/2013</t>
  </si>
  <si>
    <t>Funcionario(a):</t>
  </si>
  <si>
    <t>MARCO GARRIDO</t>
  </si>
  <si>
    <t>Cargo:</t>
  </si>
  <si>
    <t>Nº Tarjeta:</t>
  </si>
  <si>
    <t>Área:</t>
  </si>
  <si>
    <t>Jefe directo:</t>
  </si>
  <si>
    <t>1ª</t>
  </si>
  <si>
    <t>2ª</t>
  </si>
  <si>
    <t>3ª</t>
  </si>
  <si>
    <t>4ª</t>
  </si>
  <si>
    <t>TPO.</t>
  </si>
  <si>
    <t>HORAS</t>
  </si>
  <si>
    <t>Nº DE HORAS</t>
  </si>
  <si>
    <t>DÍA</t>
  </si>
  <si>
    <t>ENT.</t>
  </si>
  <si>
    <t>SAL.</t>
  </si>
  <si>
    <t>PERM.</t>
  </si>
  <si>
    <t>Total</t>
  </si>
  <si>
    <t>Norm.</t>
  </si>
  <si>
    <t>Extras</t>
  </si>
  <si>
    <t>MOTIVO DE HORAS EXTRAORDINARIAS</t>
  </si>
  <si>
    <t>lunes</t>
  </si>
  <si>
    <t>martes</t>
  </si>
  <si>
    <t>miércoles</t>
  </si>
  <si>
    <t>jueves</t>
  </si>
  <si>
    <t>viernes</t>
  </si>
  <si>
    <t>sábado</t>
  </si>
  <si>
    <t>domingo</t>
  </si>
  <si>
    <r>
      <rPr>
        <sz val="10"/>
        <rFont val="Arial"/>
        <charset val="1"/>
      </rPr>
      <t xml:space="preserve"> </t>
    </r>
    <r>
      <rPr>
        <b/>
        <sz val="10"/>
        <rFont val="Arial"/>
        <charset val="1"/>
      </rPr>
      <t>Primero</t>
    </r>
    <r>
      <rPr>
        <sz val="10"/>
        <rFont val="Arial"/>
        <charset val="1"/>
      </rPr>
      <t xml:space="preserve">: A través del presente documento, el  trabajador  quien  suscribe  el  presente convenio y   autorización de horas extraordinarias,    acepta  y  reconoce  que las horas   </t>
    </r>
  </si>
  <si>
    <t>extraordinarias aquí expuestas  son  las  únicas   horas trabajadas  con  autorización  del  empleador  y consecuentemente  reconoce que son las que deben  ser canceladas como tal.</t>
  </si>
  <si>
    <r>
      <rPr>
        <b/>
        <sz val="10"/>
        <rFont val="Arial"/>
        <charset val="1"/>
      </rPr>
      <t>Segundo:</t>
    </r>
    <r>
      <rPr>
        <sz val="10"/>
        <rFont val="Arial"/>
        <charset val="1"/>
      </rPr>
      <t xml:space="preserve"> Los abajo firmantes declaran que las horas de entrada y salida señaladas en el presente documento, son fiel reflejo de lo registrado en las tarjetas de control de asistencia utilizadas formal y oficialmente por el Empleador,</t>
    </r>
  </si>
  <si>
    <t xml:space="preserve">expresando su conformidad con los cálculos y demás datos indicados. </t>
  </si>
  <si>
    <t>________________________________</t>
  </si>
  <si>
    <t>VºBº Jefe Depto. Recurso Humano</t>
  </si>
  <si>
    <t>Firma Funcionario</t>
  </si>
  <si>
    <t>Firma Jefe Directo</t>
  </si>
  <si>
    <t>Carlos Rodriguez</t>
  </si>
  <si>
    <t xml:space="preserve">Sistemas </t>
  </si>
  <si>
    <t>asisttiendo de las 9:30 a los usuarios de rendic problema de conexión, hasta las 15:30</t>
  </si>
  <si>
    <t>hasta las 15:20 asistiendo macrena saavedra problema conexión casa</t>
  </si>
  <si>
    <t>asistiendo usuario denizard gallardo conexión casa, hasta las 21:20 luego marcelo cruz, cambio de ips</t>
  </si>
  <si>
    <t>de corrido asistiendo instalacion matta, conexión salon, luego hasta las 20:30 asistiendo alejandro ahumada proeblema coenxion milenium</t>
  </si>
  <si>
    <t>hasta las 20:10 asistiendo eduardo campos, luego alejandro ahumada probelma conecion milenium rendic</t>
  </si>
  <si>
    <t>hasta las 21:10 asistiendo denizard gallardo probelma equipo arica, valpo</t>
  </si>
  <si>
    <t>hasta las 17:20 asistiendo usuarios corte electrico rendic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</si>
</sst>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 de &quot;mmmm&quot; del &quot;yyyy"/>
    <numFmt numFmtId="165" formatCode="mmmm&quot; del &quot;yyyy"/>
    <numFmt numFmtId="166" formatCode="#,##0;[Red]\(#,##0\)"/>
    <numFmt numFmtId="167" formatCode="#,##0.00;[Red]\(#,##0.00\)"/>
  </numFmts>
  <fonts count="18">
    <font>
      <sz val="10"/>
      <name val="Arial"/>
      <charset val="134"/>
    </font>
    <font>
      <sz val="10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  <font>
      <sz val="12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sz val="10"/>
      <color indexed="48"/>
      <name val="Arial"/>
      <charset val="1"/>
    </font>
    <font>
      <sz val="10"/>
      <color indexed="10"/>
      <name val="Arial"/>
      <charset val="1"/>
    </font>
    <font>
      <b/>
      <sz val="10"/>
      <color indexed="48"/>
      <name val="Arial"/>
      <charset val="1"/>
    </font>
    <font>
      <sz val="8"/>
      <name val="Arial"/>
      <charset val="134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15"/>
        <bgColor indexed="35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rgb="FFFFFF00"/>
        <b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51"/>
        <bgColor indexed="34"/>
      </patternFill>
    </fill>
    <fill>
      <patternFill patternType="solid">
        <fgColor indexed="53"/>
        <bgColor indexed="52"/>
      </patternFill>
    </fill>
    <fill>
      <patternFill patternType="solid">
        <fgColor indexed="11"/>
        <bgColor indexed="49"/>
      </patternFill>
    </fill>
    <fill>
      <patternFill patternType="solid">
        <fgColor rgb="FFFF0000"/>
        <bgColor indexed="51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1" fillId="2" borderId="0" xfId="1" applyFill="1"/>
    <xf numFmtId="0" fontId="1" fillId="3" borderId="0" xfId="1" applyFill="1"/>
    <xf numFmtId="0" fontId="1" fillId="0" borderId="0" xfId="1"/>
    <xf numFmtId="0" fontId="2" fillId="3" borderId="0" xfId="1" applyFont="1" applyFill="1" applyAlignment="1">
      <alignment horizontal="left"/>
    </xf>
    <xf numFmtId="0" fontId="3" fillId="0" borderId="0" xfId="1" applyFont="1" applyAlignment="1">
      <alignment horizontal="center"/>
    </xf>
    <xf numFmtId="0" fontId="3" fillId="3" borderId="0" xfId="1" applyFont="1" applyFill="1" applyAlignment="1">
      <alignment horizontal="center"/>
    </xf>
    <xf numFmtId="0" fontId="4" fillId="0" borderId="0" xfId="1" applyFont="1" applyAlignment="1">
      <alignment horizontal="left"/>
    </xf>
    <xf numFmtId="17" fontId="5" fillId="0" borderId="0" xfId="1" applyNumberFormat="1" applyFont="1" applyAlignment="1">
      <alignment horizontal="center"/>
    </xf>
    <xf numFmtId="17" fontId="5" fillId="3" borderId="0" xfId="1" applyNumberFormat="1" applyFont="1" applyFill="1" applyAlignment="1">
      <alignment horizontal="left"/>
    </xf>
    <xf numFmtId="3" fontId="4" fillId="4" borderId="1" xfId="1" applyNumberFormat="1" applyFont="1" applyFill="1" applyBorder="1" applyAlignment="1">
      <alignment horizontal="center"/>
    </xf>
    <xf numFmtId="0" fontId="2" fillId="0" borderId="0" xfId="1" applyFont="1"/>
    <xf numFmtId="0" fontId="1" fillId="3" borderId="2" xfId="1" applyFill="1" applyBorder="1"/>
    <xf numFmtId="0" fontId="1" fillId="0" borderId="3" xfId="1" applyBorder="1"/>
    <xf numFmtId="0" fontId="2" fillId="6" borderId="2" xfId="1" applyFont="1" applyFill="1" applyBorder="1" applyAlignment="1">
      <alignment horizontal="center"/>
    </xf>
    <xf numFmtId="0" fontId="2" fillId="7" borderId="2" xfId="1" applyFont="1" applyFill="1" applyBorder="1" applyAlignment="1">
      <alignment horizontal="center"/>
    </xf>
    <xf numFmtId="0" fontId="2" fillId="8" borderId="2" xfId="1" applyFont="1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6" borderId="5" xfId="1" applyFont="1" applyFill="1" applyBorder="1" applyAlignment="1">
      <alignment horizontal="center"/>
    </xf>
    <xf numFmtId="0" fontId="2" fillId="7" borderId="5" xfId="1" applyFont="1" applyFill="1" applyBorder="1" applyAlignment="1">
      <alignment horizontal="center"/>
    </xf>
    <xf numFmtId="0" fontId="2" fillId="8" borderId="5" xfId="1" applyFont="1" applyFill="1" applyBorder="1" applyAlignment="1">
      <alignment horizontal="center"/>
    </xf>
    <xf numFmtId="0" fontId="1" fillId="3" borderId="6" xfId="1" applyFill="1" applyBorder="1"/>
    <xf numFmtId="0" fontId="1" fillId="0" borderId="7" xfId="1" applyBorder="1"/>
    <xf numFmtId="20" fontId="1" fillId="7" borderId="8" xfId="1" applyNumberFormat="1" applyFill="1" applyBorder="1" applyAlignment="1">
      <alignment horizontal="center"/>
    </xf>
    <xf numFmtId="20" fontId="1" fillId="7" borderId="7" xfId="1" applyNumberFormat="1" applyFill="1" applyBorder="1" applyAlignment="1">
      <alignment horizontal="center"/>
    </xf>
    <xf numFmtId="0" fontId="1" fillId="2" borderId="7" xfId="1" applyFill="1" applyBorder="1"/>
    <xf numFmtId="0" fontId="1" fillId="3" borderId="9" xfId="1" applyFill="1" applyBorder="1"/>
    <xf numFmtId="0" fontId="1" fillId="0" borderId="9" xfId="1" applyBorder="1"/>
    <xf numFmtId="0" fontId="1" fillId="0" borderId="2" xfId="1" applyBorder="1"/>
    <xf numFmtId="0" fontId="1" fillId="0" borderId="0" xfId="1" applyAlignment="1">
      <alignment horizontal="left"/>
    </xf>
    <xf numFmtId="0" fontId="6" fillId="0" borderId="0" xfId="1" applyFont="1"/>
    <xf numFmtId="2" fontId="6" fillId="0" borderId="0" xfId="1" applyNumberFormat="1" applyFont="1"/>
    <xf numFmtId="4" fontId="6" fillId="0" borderId="0" xfId="1" applyNumberFormat="1" applyFont="1"/>
    <xf numFmtId="0" fontId="2" fillId="0" borderId="10" xfId="1" applyFont="1" applyBorder="1" applyAlignment="1">
      <alignment horizontal="left"/>
    </xf>
    <xf numFmtId="0" fontId="1" fillId="0" borderId="10" xfId="1" applyBorder="1"/>
    <xf numFmtId="0" fontId="2" fillId="0" borderId="11" xfId="1" applyFont="1" applyBorder="1"/>
    <xf numFmtId="0" fontId="1" fillId="3" borderId="10" xfId="1" applyFill="1" applyBorder="1"/>
    <xf numFmtId="0" fontId="1" fillId="3" borderId="5" xfId="1" applyFill="1" applyBorder="1"/>
    <xf numFmtId="0" fontId="1" fillId="0" borderId="1" xfId="1" applyBorder="1"/>
    <xf numFmtId="17" fontId="5" fillId="0" borderId="0" xfId="1" applyNumberFormat="1" applyFont="1" applyAlignment="1">
      <alignment horizontal="left"/>
    </xf>
    <xf numFmtId="0" fontId="2" fillId="10" borderId="2" xfId="1" applyFont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10" borderId="5" xfId="1" applyFont="1" applyFill="1" applyBorder="1" applyAlignment="1">
      <alignment horizontal="center"/>
    </xf>
    <xf numFmtId="0" fontId="2" fillId="0" borderId="5" xfId="1" applyFont="1" applyBorder="1" applyAlignment="1">
      <alignment horizontal="center"/>
    </xf>
    <xf numFmtId="20" fontId="1" fillId="3" borderId="6" xfId="1" applyNumberFormat="1" applyFill="1" applyBorder="1" applyAlignment="1">
      <alignment horizontal="center"/>
    </xf>
    <xf numFmtId="166" fontId="1" fillId="3" borderId="8" xfId="1" applyNumberFormat="1" applyFill="1" applyBorder="1"/>
    <xf numFmtId="167" fontId="1" fillId="3" borderId="8" xfId="1" applyNumberFormat="1" applyFill="1" applyBorder="1"/>
    <xf numFmtId="167" fontId="2" fillId="3" borderId="8" xfId="1" applyNumberFormat="1" applyFont="1" applyFill="1" applyBorder="1"/>
    <xf numFmtId="0" fontId="1" fillId="0" borderId="9" xfId="1" applyBorder="1" applyAlignment="1">
      <alignment horizontal="center"/>
    </xf>
    <xf numFmtId="2" fontId="2" fillId="0" borderId="13" xfId="1" applyNumberFormat="1" applyFont="1" applyBorder="1"/>
    <xf numFmtId="2" fontId="2" fillId="0" borderId="13" xfId="1" applyNumberFormat="1" applyFont="1" applyBorder="1" applyAlignment="1">
      <alignment horizontal="center"/>
    </xf>
    <xf numFmtId="0" fontId="1" fillId="0" borderId="0" xfId="1" applyAlignment="1">
      <alignment horizontal="center"/>
    </xf>
    <xf numFmtId="2" fontId="2" fillId="0" borderId="0" xfId="1" applyNumberFormat="1" applyFont="1"/>
    <xf numFmtId="2" fontId="2" fillId="0" borderId="0" xfId="1" applyNumberFormat="1" applyFont="1" applyAlignment="1">
      <alignment horizontal="center"/>
    </xf>
    <xf numFmtId="0" fontId="1" fillId="0" borderId="1" xfId="1" applyBorder="1" applyAlignment="1">
      <alignment horizontal="center"/>
    </xf>
    <xf numFmtId="0" fontId="1" fillId="11" borderId="0" xfId="1" applyFill="1"/>
    <xf numFmtId="0" fontId="1" fillId="12" borderId="0" xfId="1" applyFill="1"/>
    <xf numFmtId="17" fontId="4" fillId="0" borderId="0" xfId="1" applyNumberFormat="1" applyFont="1" applyAlignment="1">
      <alignment horizontal="left"/>
    </xf>
    <xf numFmtId="0" fontId="1" fillId="0" borderId="12" xfId="1" applyBorder="1"/>
    <xf numFmtId="0" fontId="2" fillId="13" borderId="13" xfId="1" applyFont="1" applyFill="1" applyBorder="1" applyAlignment="1">
      <alignment horizontal="center"/>
    </xf>
    <xf numFmtId="0" fontId="1" fillId="12" borderId="9" xfId="1" applyFill="1" applyBorder="1"/>
    <xf numFmtId="0" fontId="1" fillId="12" borderId="3" xfId="1" applyFill="1" applyBorder="1"/>
    <xf numFmtId="2" fontId="2" fillId="11" borderId="13" xfId="1" applyNumberFormat="1" applyFont="1" applyFill="1" applyBorder="1" applyAlignment="1">
      <alignment horizontal="center"/>
    </xf>
    <xf numFmtId="9" fontId="2" fillId="11" borderId="13" xfId="1" applyNumberFormat="1" applyFont="1" applyFill="1" applyBorder="1" applyAlignment="1">
      <alignment horizontal="center"/>
    </xf>
    <xf numFmtId="0" fontId="1" fillId="0" borderId="15" xfId="1" applyBorder="1"/>
    <xf numFmtId="0" fontId="1" fillId="14" borderId="9" xfId="1" applyFill="1" applyBorder="1"/>
    <xf numFmtId="0" fontId="1" fillId="14" borderId="0" xfId="1" applyFill="1"/>
    <xf numFmtId="0" fontId="1" fillId="0" borderId="15" xfId="1" applyBorder="1" applyAlignment="1">
      <alignment horizontal="left"/>
    </xf>
    <xf numFmtId="0" fontId="1" fillId="14" borderId="0" xfId="1" applyFill="1" applyAlignment="1">
      <alignment horizontal="left"/>
    </xf>
    <xf numFmtId="0" fontId="2" fillId="0" borderId="0" xfId="1" applyFont="1" applyAlignment="1">
      <alignment horizontal="left"/>
    </xf>
    <xf numFmtId="0" fontId="1" fillId="0" borderId="15" xfId="1" applyBorder="1" applyAlignment="1">
      <alignment horizontal="left" wrapText="1"/>
    </xf>
    <xf numFmtId="0" fontId="2" fillId="0" borderId="15" xfId="1" applyFont="1" applyBorder="1" applyAlignment="1">
      <alignment horizontal="left" wrapText="1"/>
    </xf>
    <xf numFmtId="0" fontId="2" fillId="0" borderId="15" xfId="1" applyFont="1" applyBorder="1"/>
    <xf numFmtId="0" fontId="2" fillId="0" borderId="15" xfId="1" applyFont="1" applyBorder="1" applyAlignment="1">
      <alignment horizontal="left"/>
    </xf>
    <xf numFmtId="0" fontId="1" fillId="0" borderId="16" xfId="1" applyBorder="1"/>
    <xf numFmtId="0" fontId="7" fillId="0" borderId="0" xfId="1" applyFont="1"/>
    <xf numFmtId="0" fontId="1" fillId="4" borderId="0" xfId="1" applyFill="1"/>
    <xf numFmtId="3" fontId="1" fillId="0" borderId="0" xfId="1" applyNumberFormat="1"/>
    <xf numFmtId="1" fontId="1" fillId="0" borderId="0" xfId="1" applyNumberFormat="1"/>
    <xf numFmtId="1" fontId="8" fillId="0" borderId="0" xfId="1" applyNumberFormat="1" applyFont="1"/>
    <xf numFmtId="0" fontId="1" fillId="15" borderId="0" xfId="1" applyFill="1"/>
    <xf numFmtId="1" fontId="9" fillId="0" borderId="0" xfId="1" applyNumberFormat="1" applyFont="1"/>
    <xf numFmtId="0" fontId="1" fillId="16" borderId="0" xfId="1" applyFill="1"/>
    <xf numFmtId="1" fontId="2" fillId="0" borderId="0" xfId="1" applyNumberFormat="1" applyFont="1"/>
    <xf numFmtId="0" fontId="11" fillId="0" borderId="7" xfId="1" applyFont="1" applyBorder="1"/>
    <xf numFmtId="20" fontId="11" fillId="9" borderId="8" xfId="1" applyNumberFormat="1" applyFont="1" applyFill="1" applyBorder="1" applyAlignment="1">
      <alignment horizontal="center"/>
    </xf>
    <xf numFmtId="20" fontId="11" fillId="9" borderId="6" xfId="1" applyNumberFormat="1" applyFont="1" applyFill="1" applyBorder="1" applyAlignment="1">
      <alignment horizontal="center"/>
    </xf>
    <xf numFmtId="166" fontId="11" fillId="9" borderId="8" xfId="1" applyNumberFormat="1" applyFont="1" applyFill="1" applyBorder="1"/>
    <xf numFmtId="167" fontId="11" fillId="9" borderId="8" xfId="1" applyNumberFormat="1" applyFont="1" applyFill="1" applyBorder="1"/>
    <xf numFmtId="167" fontId="12" fillId="9" borderId="8" xfId="1" applyNumberFormat="1" applyFont="1" applyFill="1" applyBorder="1"/>
    <xf numFmtId="2" fontId="12" fillId="9" borderId="14" xfId="1" applyNumberFormat="1" applyFont="1" applyFill="1" applyBorder="1" applyAlignment="1">
      <alignment horizontal="center"/>
    </xf>
    <xf numFmtId="2" fontId="12" fillId="9" borderId="14" xfId="1" applyNumberFormat="1" applyFont="1" applyFill="1" applyBorder="1"/>
    <xf numFmtId="17" fontId="13" fillId="0" borderId="0" xfId="1" applyNumberFormat="1" applyFont="1" applyAlignment="1">
      <alignment horizontal="left"/>
    </xf>
    <xf numFmtId="0" fontId="11" fillId="0" borderId="0" xfId="1" applyFont="1"/>
    <xf numFmtId="20" fontId="14" fillId="9" borderId="8" xfId="1" applyNumberFormat="1" applyFont="1" applyFill="1" applyBorder="1" applyAlignment="1">
      <alignment horizontal="center"/>
    </xf>
    <xf numFmtId="20" fontId="14" fillId="9" borderId="6" xfId="1" applyNumberFormat="1" applyFont="1" applyFill="1" applyBorder="1" applyAlignment="1">
      <alignment horizontal="center"/>
    </xf>
    <xf numFmtId="166" fontId="14" fillId="9" borderId="8" xfId="1" applyNumberFormat="1" applyFont="1" applyFill="1" applyBorder="1"/>
    <xf numFmtId="167" fontId="14" fillId="9" borderId="8" xfId="1" applyNumberFormat="1" applyFont="1" applyFill="1" applyBorder="1"/>
    <xf numFmtId="167" fontId="15" fillId="9" borderId="8" xfId="1" applyNumberFormat="1" applyFont="1" applyFill="1" applyBorder="1"/>
    <xf numFmtId="2" fontId="15" fillId="9" borderId="14" xfId="1" applyNumberFormat="1" applyFont="1" applyFill="1" applyBorder="1" applyAlignment="1">
      <alignment horizontal="center"/>
    </xf>
    <xf numFmtId="2" fontId="15" fillId="9" borderId="14" xfId="1" applyNumberFormat="1" applyFont="1" applyFill="1" applyBorder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164" fontId="5" fillId="4" borderId="0" xfId="1" applyNumberFormat="1" applyFont="1" applyFill="1" applyAlignment="1">
      <alignment horizontal="center"/>
    </xf>
    <xf numFmtId="165" fontId="5" fillId="4" borderId="0" xfId="1" applyNumberFormat="1" applyFont="1" applyFill="1" applyAlignment="1">
      <alignment horizontal="center"/>
    </xf>
    <xf numFmtId="17" fontId="5" fillId="0" borderId="0" xfId="1" applyNumberFormat="1" applyFont="1" applyAlignment="1">
      <alignment horizontal="center"/>
    </xf>
    <xf numFmtId="0" fontId="5" fillId="5" borderId="0" xfId="1" applyFont="1" applyFill="1" applyAlignment="1">
      <alignment horizontal="left"/>
    </xf>
    <xf numFmtId="17" fontId="5" fillId="0" borderId="0" xfId="1" applyNumberFormat="1" applyFont="1" applyAlignment="1">
      <alignment horizontal="right"/>
    </xf>
    <xf numFmtId="0" fontId="13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17" fontId="5" fillId="0" borderId="1" xfId="1" applyNumberFormat="1" applyFont="1" applyBorder="1" applyAlignment="1">
      <alignment horizontal="right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20" fontId="16" fillId="17" borderId="8" xfId="1" applyNumberFormat="1" applyFont="1" applyFill="1" applyBorder="1" applyAlignment="1">
      <alignment horizontal="center"/>
    </xf>
    <xf numFmtId="20" fontId="16" fillId="17" borderId="6" xfId="1" applyNumberFormat="1" applyFont="1" applyFill="1" applyBorder="1" applyAlignment="1">
      <alignment horizontal="center"/>
    </xf>
    <xf numFmtId="166" fontId="16" fillId="17" borderId="8" xfId="1" applyNumberFormat="1" applyFont="1" applyFill="1" applyBorder="1"/>
    <xf numFmtId="167" fontId="16" fillId="17" borderId="8" xfId="1" applyNumberFormat="1" applyFont="1" applyFill="1" applyBorder="1"/>
    <xf numFmtId="167" fontId="17" fillId="17" borderId="8" xfId="1" applyNumberFormat="1" applyFont="1" applyFill="1" applyBorder="1"/>
    <xf numFmtId="2" fontId="17" fillId="17" borderId="14" xfId="1" applyNumberFormat="1" applyFont="1" applyFill="1" applyBorder="1" applyAlignment="1">
      <alignment horizontal="center"/>
    </xf>
    <xf numFmtId="2" fontId="17" fillId="17" borderId="14" xfId="1" applyNumberFormat="1" applyFont="1" applyFill="1" applyBorder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D32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13" Type="http://schemas.microsoft.com/office/2017/10/relationships/person" Target="persons/person6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12" Type="http://schemas.microsoft.com/office/2017/10/relationships/person" Target="persons/person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3.xml"/><Relationship Id="rId5" Type="http://schemas.openxmlformats.org/officeDocument/2006/relationships/calcChain" Target="calcChai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14" Type="http://schemas.microsoft.com/office/2017/10/relationships/person" Target="persons/person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3"/>
  <sheetViews>
    <sheetView tabSelected="1" topLeftCell="A7" workbookViewId="0">
      <selection activeCell="R41" sqref="R41"/>
    </sheetView>
  </sheetViews>
  <sheetFormatPr baseColWidth="10" defaultColWidth="11.42578125" defaultRowHeight="12.75"/>
  <cols>
    <col min="1" max="1" width="3.140625" style="2" customWidth="1"/>
    <col min="2" max="2" width="9" style="3" customWidth="1"/>
    <col min="3" max="4" width="6.42578125" style="3" customWidth="1"/>
    <col min="5" max="5" width="7" style="3" customWidth="1"/>
    <col min="6" max="10" width="6.42578125" style="3" customWidth="1"/>
    <col min="11" max="13" width="9.28515625" style="3" customWidth="1"/>
    <col min="14" max="14" width="11" style="3" customWidth="1"/>
    <col min="15" max="15" width="12.85546875" style="3" customWidth="1"/>
    <col min="16" max="16" width="8.140625" style="3" customWidth="1"/>
    <col min="17" max="17" width="10.28515625" style="3" customWidth="1"/>
    <col min="18" max="18" width="65" style="3" customWidth="1"/>
    <col min="19" max="16384" width="11.42578125" style="3"/>
  </cols>
  <sheetData>
    <row r="1" spans="1:24">
      <c r="A1" s="4" t="s">
        <v>0</v>
      </c>
    </row>
    <row r="2" spans="1:24" ht="18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spans="1:24" ht="8.25" customHeight="1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4" ht="18" customHeight="1">
      <c r="A4" s="103" t="s">
        <v>2</v>
      </c>
      <c r="B4" s="103"/>
      <c r="C4" s="103"/>
      <c r="D4" s="104">
        <v>43846</v>
      </c>
      <c r="E4" s="104"/>
      <c r="F4" s="104"/>
      <c r="G4" s="104"/>
      <c r="H4" s="104"/>
      <c r="I4" s="7" t="s">
        <v>3</v>
      </c>
      <c r="J4" s="5"/>
      <c r="K4" s="5"/>
      <c r="L4" s="5"/>
      <c r="M4" s="5"/>
      <c r="N4" s="5"/>
      <c r="O4" s="5"/>
      <c r="P4" s="5"/>
      <c r="Q4" s="5"/>
      <c r="R4" s="5"/>
    </row>
    <row r="5" spans="1:24" ht="18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57"/>
      <c r="T5" s="57"/>
      <c r="U5" s="57"/>
      <c r="V5" s="57"/>
      <c r="W5" s="57"/>
      <c r="X5" s="57"/>
    </row>
    <row r="6" spans="1:24" ht="15.75">
      <c r="A6" s="105" t="s">
        <v>4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57"/>
      <c r="T6" s="57"/>
      <c r="U6" s="57"/>
      <c r="V6" s="57"/>
      <c r="W6" s="57"/>
      <c r="X6" s="57"/>
    </row>
    <row r="7" spans="1:24" ht="15.75">
      <c r="A7" s="106" t="s">
        <v>5</v>
      </c>
      <c r="B7" s="106"/>
      <c r="C7" s="106"/>
      <c r="D7" s="107" t="s">
        <v>6</v>
      </c>
      <c r="E7" s="107"/>
      <c r="F7" s="107"/>
      <c r="G7" s="107"/>
      <c r="H7" s="107"/>
      <c r="I7" s="107"/>
      <c r="O7" s="39"/>
      <c r="P7" s="108" t="s">
        <v>7</v>
      </c>
      <c r="Q7" s="108"/>
      <c r="R7" s="58"/>
      <c r="S7" s="57"/>
      <c r="T7" s="57"/>
      <c r="U7" s="57"/>
      <c r="V7" s="57"/>
      <c r="W7" s="57"/>
      <c r="X7" s="57"/>
    </row>
    <row r="8" spans="1:24" ht="18" customHeight="1">
      <c r="A8" s="9" t="s">
        <v>8</v>
      </c>
      <c r="B8" s="8"/>
      <c r="C8" s="10"/>
      <c r="E8" s="11" t="s">
        <v>9</v>
      </c>
      <c r="F8" s="109" t="s">
        <v>42</v>
      </c>
      <c r="G8" s="110"/>
      <c r="H8" s="110"/>
      <c r="I8" s="110"/>
      <c r="J8" s="110"/>
      <c r="K8" s="110"/>
      <c r="L8" s="110"/>
      <c r="M8" s="110"/>
      <c r="N8" s="110"/>
      <c r="O8" s="110"/>
      <c r="P8" s="111" t="s">
        <v>10</v>
      </c>
      <c r="Q8" s="111"/>
      <c r="R8" s="93" t="s">
        <v>41</v>
      </c>
      <c r="S8" s="57"/>
      <c r="T8" s="57"/>
      <c r="U8" s="57"/>
      <c r="V8" s="57"/>
      <c r="W8" s="57"/>
      <c r="X8" s="57"/>
    </row>
    <row r="9" spans="1:24">
      <c r="A9" s="12"/>
      <c r="B9" s="13"/>
      <c r="C9" s="14" t="s">
        <v>11</v>
      </c>
      <c r="D9" s="14" t="s">
        <v>11</v>
      </c>
      <c r="E9" s="15" t="s">
        <v>12</v>
      </c>
      <c r="F9" s="15" t="s">
        <v>12</v>
      </c>
      <c r="G9" s="16" t="s">
        <v>13</v>
      </c>
      <c r="H9" s="16" t="s">
        <v>13</v>
      </c>
      <c r="I9" s="40" t="s">
        <v>14</v>
      </c>
      <c r="J9" s="40" t="s">
        <v>14</v>
      </c>
      <c r="K9" s="41" t="s">
        <v>15</v>
      </c>
      <c r="L9" s="112" t="s">
        <v>16</v>
      </c>
      <c r="M9" s="112"/>
      <c r="N9" s="112"/>
      <c r="O9" s="113" t="s">
        <v>17</v>
      </c>
      <c r="P9" s="113"/>
      <c r="Q9" s="113"/>
      <c r="R9" s="59"/>
      <c r="S9" s="57"/>
      <c r="T9" s="57"/>
      <c r="U9" s="57"/>
      <c r="V9" s="57"/>
      <c r="W9" s="57"/>
      <c r="X9" s="57"/>
    </row>
    <row r="10" spans="1:24">
      <c r="A10" s="114" t="s">
        <v>18</v>
      </c>
      <c r="B10" s="114"/>
      <c r="C10" s="18" t="s">
        <v>19</v>
      </c>
      <c r="D10" s="18" t="s">
        <v>20</v>
      </c>
      <c r="E10" s="19" t="s">
        <v>19</v>
      </c>
      <c r="F10" s="19" t="s">
        <v>20</v>
      </c>
      <c r="G10" s="20" t="s">
        <v>19</v>
      </c>
      <c r="H10" s="20" t="s">
        <v>20</v>
      </c>
      <c r="I10" s="43" t="s">
        <v>19</v>
      </c>
      <c r="J10" s="43" t="s">
        <v>20</v>
      </c>
      <c r="K10" s="44" t="s">
        <v>21</v>
      </c>
      <c r="L10" s="114" t="s">
        <v>21</v>
      </c>
      <c r="M10" s="114"/>
      <c r="N10" s="114"/>
      <c r="O10" s="42" t="s">
        <v>22</v>
      </c>
      <c r="P10" s="42" t="s">
        <v>23</v>
      </c>
      <c r="Q10" s="60" t="s">
        <v>24</v>
      </c>
      <c r="R10" s="17" t="s">
        <v>25</v>
      </c>
      <c r="S10" s="57"/>
      <c r="T10" s="57"/>
      <c r="U10" s="57"/>
      <c r="V10" s="57"/>
      <c r="W10" s="57"/>
      <c r="X10" s="57"/>
    </row>
    <row r="11" spans="1:24">
      <c r="A11" s="21">
        <v>16</v>
      </c>
      <c r="B11" s="22" t="s">
        <v>29</v>
      </c>
      <c r="C11" s="23">
        <v>0.39583333333333331</v>
      </c>
      <c r="D11" s="23">
        <v>0.5625</v>
      </c>
      <c r="E11" s="23">
        <v>0.625</v>
      </c>
      <c r="F11" s="23">
        <v>0.79166666666666663</v>
      </c>
      <c r="G11" s="24"/>
      <c r="H11" s="24"/>
      <c r="I11" s="24"/>
      <c r="J11" s="24"/>
      <c r="K11" s="45">
        <f t="shared" ref="K11" si="0">(D11-C11)+(F11-E11)+(H11-G11)+(J11-I11)</f>
        <v>0.33333333333333331</v>
      </c>
      <c r="L11" s="46">
        <f t="shared" ref="L11" si="1">HOUR(K11)</f>
        <v>8</v>
      </c>
      <c r="M11" s="47">
        <f t="shared" ref="M11" si="2">(MINUTE(K11))/60</f>
        <v>0</v>
      </c>
      <c r="N11" s="48">
        <f t="shared" ref="N11" si="3">+L11+M11</f>
        <v>8</v>
      </c>
      <c r="O11" s="22"/>
      <c r="P11" s="22"/>
      <c r="Q11" s="22"/>
      <c r="R11" s="85"/>
      <c r="S11" s="57"/>
      <c r="T11" s="57"/>
      <c r="U11" s="57"/>
      <c r="V11" s="57"/>
      <c r="W11" s="57"/>
      <c r="X11" s="57"/>
    </row>
    <row r="12" spans="1:24">
      <c r="A12" s="21">
        <v>17</v>
      </c>
      <c r="B12" s="22" t="s">
        <v>30</v>
      </c>
      <c r="C12" s="23">
        <v>0.39583333333333331</v>
      </c>
      <c r="D12" s="23">
        <v>0.5625</v>
      </c>
      <c r="E12" s="23">
        <v>0.625</v>
      </c>
      <c r="F12" s="23">
        <v>0.79166666666666663</v>
      </c>
      <c r="G12" s="24"/>
      <c r="H12" s="24"/>
      <c r="I12" s="24"/>
      <c r="J12" s="24"/>
      <c r="K12" s="45">
        <f t="shared" ref="K12" si="4">(D12-C12)+(F12-E12)+(H12-G12)+(J12-I12)</f>
        <v>0.33333333333333331</v>
      </c>
      <c r="L12" s="46">
        <f t="shared" ref="L12" si="5">HOUR(K12)</f>
        <v>8</v>
      </c>
      <c r="M12" s="47">
        <f t="shared" ref="M12" si="6">(MINUTE(K12))/60</f>
        <v>0</v>
      </c>
      <c r="N12" s="48">
        <f t="shared" ref="N12" si="7">+L12+M12</f>
        <v>8</v>
      </c>
      <c r="O12" s="22"/>
      <c r="P12" s="22"/>
      <c r="Q12" s="22"/>
      <c r="R12" s="85"/>
      <c r="S12" s="57"/>
      <c r="T12" s="57"/>
      <c r="U12" s="57"/>
      <c r="V12" s="57"/>
      <c r="W12" s="57"/>
      <c r="X12" s="57"/>
    </row>
    <row r="13" spans="1:24">
      <c r="A13" s="21">
        <v>18</v>
      </c>
      <c r="B13" s="22" t="s">
        <v>31</v>
      </c>
      <c r="C13" s="23">
        <v>0.41666666666666669</v>
      </c>
      <c r="D13" s="23">
        <v>0.63888888888888884</v>
      </c>
      <c r="E13" s="23"/>
      <c r="F13" s="23"/>
      <c r="G13" s="24"/>
      <c r="H13" s="24"/>
      <c r="I13" s="24"/>
      <c r="J13" s="24"/>
      <c r="K13" s="45">
        <f t="shared" ref="K13" si="8">(D13-C13)+(F13-E13)+(H13-G13)+(J13-I13)</f>
        <v>0.22222222222222215</v>
      </c>
      <c r="L13" s="46">
        <f t="shared" ref="L13" si="9">HOUR(K13)</f>
        <v>5</v>
      </c>
      <c r="M13" s="47">
        <f t="shared" ref="M13" si="10">(MINUTE(K13))/60</f>
        <v>0.33333333333333331</v>
      </c>
      <c r="N13" s="48">
        <f t="shared" ref="N13" si="11">+L13+M13</f>
        <v>5.333333333333333</v>
      </c>
      <c r="O13" s="22"/>
      <c r="P13" s="22"/>
      <c r="Q13" s="22"/>
      <c r="R13" s="85" t="s">
        <v>44</v>
      </c>
      <c r="S13" s="57"/>
      <c r="T13" s="57"/>
      <c r="U13" s="57"/>
      <c r="V13" s="57"/>
      <c r="W13" s="57"/>
      <c r="X13" s="57"/>
    </row>
    <row r="14" spans="1:24">
      <c r="A14" s="21">
        <v>19</v>
      </c>
      <c r="B14" s="22" t="s">
        <v>32</v>
      </c>
      <c r="C14" s="116">
        <v>0.39583333333333331</v>
      </c>
      <c r="D14" s="116">
        <v>0.64583333333333337</v>
      </c>
      <c r="E14" s="116"/>
      <c r="F14" s="116"/>
      <c r="G14" s="116"/>
      <c r="H14" s="116"/>
      <c r="I14" s="116"/>
      <c r="J14" s="117"/>
      <c r="K14" s="117">
        <f>(D14-C14)+(F14-E14)+(H14-G14)+(J14-I14)</f>
        <v>0.25000000000000006</v>
      </c>
      <c r="L14" s="118">
        <f>HOUR(K14)</f>
        <v>6</v>
      </c>
      <c r="M14" s="119">
        <f>(MINUTE(K14))/60</f>
        <v>0</v>
      </c>
      <c r="N14" s="120">
        <f>+L14+M14</f>
        <v>6</v>
      </c>
      <c r="O14" s="121">
        <f>SUM(N11:N14)</f>
        <v>27.333333333333332</v>
      </c>
      <c r="P14" s="121">
        <v>18.5</v>
      </c>
      <c r="Q14" s="122">
        <f>SUM(O14-P14)</f>
        <v>8.8333333333333321</v>
      </c>
      <c r="R14" s="85" t="s">
        <v>43</v>
      </c>
    </row>
    <row r="15" spans="1:24">
      <c r="A15" s="21">
        <v>20</v>
      </c>
      <c r="B15" s="22" t="s">
        <v>26</v>
      </c>
      <c r="C15" s="23">
        <v>0.375</v>
      </c>
      <c r="D15" s="23">
        <v>0.5625</v>
      </c>
      <c r="E15" s="23">
        <v>0.625</v>
      </c>
      <c r="F15" s="23">
        <v>0.79166666666666663</v>
      </c>
      <c r="G15" s="24"/>
      <c r="H15" s="24"/>
      <c r="I15" s="24"/>
      <c r="J15" s="24"/>
      <c r="K15" s="45">
        <f t="shared" ref="K14:K15" si="12">(D15-C15)+(F15-E15)+(H15-G15)+(J15-I15)</f>
        <v>0.35416666666666663</v>
      </c>
      <c r="L15" s="46">
        <f t="shared" ref="L14:L15" si="13">HOUR(K15)</f>
        <v>8</v>
      </c>
      <c r="M15" s="47">
        <f t="shared" ref="M14:M15" si="14">(MINUTE(K15))/60</f>
        <v>0.5</v>
      </c>
      <c r="N15" s="48">
        <f t="shared" ref="N14:N15" si="15">+L15+M15</f>
        <v>8.5</v>
      </c>
      <c r="O15" s="22"/>
      <c r="P15" s="22"/>
      <c r="Q15" s="22"/>
      <c r="R15" s="85"/>
      <c r="S15" s="57"/>
      <c r="T15" s="57"/>
      <c r="U15" s="57"/>
      <c r="V15" s="57"/>
      <c r="W15" s="57"/>
      <c r="X15" s="57"/>
    </row>
    <row r="16" spans="1:24" s="1" customFormat="1">
      <c r="A16" s="21">
        <v>21</v>
      </c>
      <c r="B16" s="22" t="s">
        <v>27</v>
      </c>
      <c r="C16" s="23">
        <v>0.39583333333333331</v>
      </c>
      <c r="D16" s="23">
        <v>0.5625</v>
      </c>
      <c r="E16" s="23">
        <v>0.625</v>
      </c>
      <c r="F16" s="23">
        <v>0.88888888888888884</v>
      </c>
      <c r="G16" s="24"/>
      <c r="H16" s="24"/>
      <c r="I16" s="24"/>
      <c r="J16" s="24"/>
      <c r="K16" s="45">
        <f t="shared" ref="K16:K17" si="16">(D16-C16)+(F16-E16)+(H16-G16)+(J16-I16)</f>
        <v>0.43055555555555552</v>
      </c>
      <c r="L16" s="46">
        <f t="shared" ref="L16:L17" si="17">HOUR(K16)</f>
        <v>10</v>
      </c>
      <c r="M16" s="47">
        <f t="shared" ref="M16:M17" si="18">(MINUTE(K16))/60</f>
        <v>0.33333333333333331</v>
      </c>
      <c r="N16" s="48">
        <f t="shared" ref="N16:N17" si="19">+L16+M16</f>
        <v>10.333333333333334</v>
      </c>
      <c r="O16" s="22"/>
      <c r="P16" s="22"/>
      <c r="Q16" s="22"/>
      <c r="R16" s="85" t="s">
        <v>45</v>
      </c>
      <c r="S16" s="57"/>
      <c r="T16" s="57"/>
      <c r="U16" s="57"/>
      <c r="V16" s="57"/>
      <c r="W16" s="57"/>
      <c r="X16" s="57"/>
    </row>
    <row r="17" spans="1:24">
      <c r="A17" s="21">
        <v>22</v>
      </c>
      <c r="B17" s="22" t="s">
        <v>28</v>
      </c>
      <c r="C17" s="23">
        <v>0.39583333333333331</v>
      </c>
      <c r="D17" s="23">
        <v>0.5625</v>
      </c>
      <c r="E17" s="23">
        <v>0.625</v>
      </c>
      <c r="F17" s="23">
        <v>0.77083333333333337</v>
      </c>
      <c r="G17" s="24"/>
      <c r="H17" s="24"/>
      <c r="I17" s="24"/>
      <c r="J17" s="24"/>
      <c r="K17" s="45">
        <f t="shared" si="16"/>
        <v>0.31250000000000006</v>
      </c>
      <c r="L17" s="46">
        <f t="shared" si="17"/>
        <v>7</v>
      </c>
      <c r="M17" s="47">
        <f t="shared" si="18"/>
        <v>0.5</v>
      </c>
      <c r="N17" s="48">
        <f t="shared" si="19"/>
        <v>7.5</v>
      </c>
      <c r="O17" s="22"/>
      <c r="P17" s="22"/>
      <c r="Q17" s="22"/>
      <c r="R17" s="85"/>
    </row>
    <row r="18" spans="1:24">
      <c r="A18" s="21">
        <v>23</v>
      </c>
      <c r="B18" s="22" t="s">
        <v>29</v>
      </c>
      <c r="C18" s="23">
        <v>0.39583333333333331</v>
      </c>
      <c r="D18" s="23">
        <v>0.5625</v>
      </c>
      <c r="E18" s="23">
        <v>0.5625</v>
      </c>
      <c r="F18" s="23">
        <v>0.85416666666666663</v>
      </c>
      <c r="G18" s="24"/>
      <c r="H18" s="24"/>
      <c r="I18" s="24"/>
      <c r="J18" s="24"/>
      <c r="K18" s="45">
        <f t="shared" ref="K18" si="20">(D18-C18)+(F18-E18)+(H18-G18)+(J18-I18)</f>
        <v>0.45833333333333331</v>
      </c>
      <c r="L18" s="46">
        <f t="shared" ref="L18" si="21">HOUR(K18)</f>
        <v>11</v>
      </c>
      <c r="M18" s="47">
        <f t="shared" ref="M18" si="22">(MINUTE(K18))/60</f>
        <v>0</v>
      </c>
      <c r="N18" s="48">
        <f t="shared" ref="N18" si="23">+L18+M18</f>
        <v>11</v>
      </c>
      <c r="O18" s="22"/>
      <c r="P18" s="22"/>
      <c r="Q18" s="22"/>
      <c r="R18" s="85" t="s">
        <v>46</v>
      </c>
      <c r="S18" s="57"/>
      <c r="T18" s="57"/>
      <c r="U18" s="57"/>
      <c r="V18" s="57"/>
      <c r="W18" s="57"/>
      <c r="X18" s="57"/>
    </row>
    <row r="19" spans="1:24">
      <c r="A19" s="21">
        <v>24</v>
      </c>
      <c r="B19" s="22" t="s">
        <v>30</v>
      </c>
      <c r="C19" s="23">
        <v>0.39583333333333331</v>
      </c>
      <c r="D19" s="23">
        <v>0.5625</v>
      </c>
      <c r="E19" s="23">
        <v>0.625</v>
      </c>
      <c r="F19" s="23">
        <v>0.79166666666666663</v>
      </c>
      <c r="G19" s="24"/>
      <c r="H19" s="24"/>
      <c r="I19" s="24"/>
      <c r="J19" s="24"/>
      <c r="K19" s="45">
        <f t="shared" ref="K19" si="24">(D19-C19)+(F19-E19)+(H19-G19)+(J19-I19)</f>
        <v>0.33333333333333331</v>
      </c>
      <c r="L19" s="46">
        <f t="shared" ref="L19" si="25">HOUR(K19)</f>
        <v>8</v>
      </c>
      <c r="M19" s="47">
        <f t="shared" ref="M19" si="26">(MINUTE(K19))/60</f>
        <v>0</v>
      </c>
      <c r="N19" s="48">
        <f t="shared" ref="N19" si="27">+L19+M19</f>
        <v>8</v>
      </c>
      <c r="O19" s="22"/>
      <c r="P19" s="22"/>
      <c r="Q19" s="22"/>
      <c r="R19" s="85"/>
      <c r="S19" s="57"/>
      <c r="T19" s="57"/>
      <c r="U19" s="57"/>
      <c r="V19" s="57"/>
      <c r="W19" s="57"/>
      <c r="X19" s="57"/>
    </row>
    <row r="20" spans="1:24">
      <c r="A20" s="21">
        <v>25</v>
      </c>
      <c r="B20" s="22" t="s">
        <v>31</v>
      </c>
      <c r="C20" s="23">
        <v>0.41666666666666669</v>
      </c>
      <c r="D20" s="23">
        <v>0.52083333333333337</v>
      </c>
      <c r="E20" s="23"/>
      <c r="F20" s="23"/>
      <c r="G20" s="24"/>
      <c r="H20" s="24"/>
      <c r="I20" s="24"/>
      <c r="J20" s="24"/>
      <c r="K20" s="45">
        <f t="shared" ref="K20" si="28">(D20-C20)+(F20-E20)+(H20-G20)+(J20-I20)</f>
        <v>0.10416666666666669</v>
      </c>
      <c r="L20" s="46">
        <f t="shared" ref="L20" si="29">HOUR(K20)</f>
        <v>2</v>
      </c>
      <c r="M20" s="47">
        <f t="shared" ref="M20" si="30">(MINUTE(K20))/60</f>
        <v>0.5</v>
      </c>
      <c r="N20" s="48">
        <f t="shared" ref="N20" si="31">+L20+M20</f>
        <v>2.5</v>
      </c>
      <c r="O20" s="22"/>
      <c r="P20" s="22"/>
      <c r="Q20" s="22"/>
      <c r="R20" s="85"/>
      <c r="S20" s="57"/>
      <c r="T20" s="57"/>
      <c r="U20" s="57"/>
      <c r="V20" s="57"/>
      <c r="W20" s="57"/>
      <c r="X20" s="57"/>
    </row>
    <row r="21" spans="1:24">
      <c r="A21" s="21">
        <v>26</v>
      </c>
      <c r="B21" s="22" t="s">
        <v>32</v>
      </c>
      <c r="C21" s="86"/>
      <c r="D21" s="86"/>
      <c r="E21" s="86"/>
      <c r="F21" s="86"/>
      <c r="G21" s="86"/>
      <c r="H21" s="86"/>
      <c r="I21" s="86"/>
      <c r="J21" s="87"/>
      <c r="K21" s="87">
        <f>(D21-C21)+(F21-E21)+(H21-G21)+(J21-I21)</f>
        <v>0</v>
      </c>
      <c r="L21" s="88">
        <f>HOUR(K21)</f>
        <v>0</v>
      </c>
      <c r="M21" s="89">
        <f>(MINUTE(K21))/60</f>
        <v>0</v>
      </c>
      <c r="N21" s="90">
        <f>+L21+M21</f>
        <v>0</v>
      </c>
      <c r="O21" s="91">
        <f>SUM(N15:N21)</f>
        <v>47.833333333333336</v>
      </c>
      <c r="P21" s="91">
        <v>42</v>
      </c>
      <c r="Q21" s="92">
        <f>SUM(O21-P21)</f>
        <v>5.8333333333333357</v>
      </c>
      <c r="R21" s="85"/>
    </row>
    <row r="22" spans="1:24">
      <c r="A22" s="21">
        <v>27</v>
      </c>
      <c r="B22" s="22" t="s">
        <v>26</v>
      </c>
      <c r="C22" s="23">
        <v>0.375</v>
      </c>
      <c r="D22" s="23">
        <v>0.5625</v>
      </c>
      <c r="E22" s="23">
        <v>0.625</v>
      </c>
      <c r="F22" s="23">
        <v>0.79166666666666663</v>
      </c>
      <c r="G22" s="24"/>
      <c r="H22" s="24"/>
      <c r="I22" s="24"/>
      <c r="J22" s="24"/>
      <c r="K22" s="45">
        <f t="shared" ref="K22" si="32">(D22-C22)+(F22-E22)+(H22-G22)+(J22-I22)</f>
        <v>0.35416666666666663</v>
      </c>
      <c r="L22" s="46">
        <f t="shared" ref="L22" si="33">HOUR(K22)</f>
        <v>8</v>
      </c>
      <c r="M22" s="47">
        <f t="shared" ref="M22" si="34">(MINUTE(K22))/60</f>
        <v>0.5</v>
      </c>
      <c r="N22" s="48">
        <f t="shared" ref="N22" si="35">+L22+M22</f>
        <v>8.5</v>
      </c>
      <c r="O22" s="22"/>
      <c r="P22" s="22"/>
      <c r="Q22" s="22"/>
      <c r="R22" s="85"/>
      <c r="S22" s="57"/>
      <c r="T22" s="57"/>
      <c r="U22" s="57"/>
      <c r="V22" s="57"/>
      <c r="W22" s="57"/>
      <c r="X22" s="57"/>
    </row>
    <row r="23" spans="1:24" s="1" customFormat="1" ht="14.25" customHeight="1">
      <c r="A23" s="21">
        <v>28</v>
      </c>
      <c r="B23" s="22" t="s">
        <v>27</v>
      </c>
      <c r="C23" s="23">
        <v>0.39583333333333331</v>
      </c>
      <c r="D23" s="23">
        <v>0.5625</v>
      </c>
      <c r="E23" s="23">
        <v>0.625</v>
      </c>
      <c r="F23" s="23">
        <v>0.77083333333333337</v>
      </c>
      <c r="G23" s="24"/>
      <c r="H23" s="24"/>
      <c r="I23" s="24"/>
      <c r="J23" s="24"/>
      <c r="K23" s="45">
        <f t="shared" ref="K23:K24" si="36">(D23-C23)+(F23-E23)+(H23-G23)+(J23-I23)</f>
        <v>0.31250000000000006</v>
      </c>
      <c r="L23" s="46">
        <f t="shared" ref="L23:L24" si="37">HOUR(K23)</f>
        <v>7</v>
      </c>
      <c r="M23" s="47">
        <f t="shared" ref="M23:M24" si="38">(MINUTE(K23))/60</f>
        <v>0.5</v>
      </c>
      <c r="N23" s="48">
        <f t="shared" ref="N23:N24" si="39">+L23+M23</f>
        <v>7.5</v>
      </c>
      <c r="O23" s="22"/>
      <c r="P23" s="22"/>
      <c r="Q23" s="22"/>
      <c r="R23" s="85"/>
      <c r="S23" s="57"/>
      <c r="T23" s="57"/>
      <c r="U23" s="57"/>
      <c r="V23" s="57"/>
      <c r="W23" s="57"/>
      <c r="X23" s="57"/>
    </row>
    <row r="24" spans="1:24">
      <c r="A24" s="21">
        <v>29</v>
      </c>
      <c r="B24" s="22" t="s">
        <v>28</v>
      </c>
      <c r="C24" s="23">
        <v>0.39583333333333331</v>
      </c>
      <c r="D24" s="23">
        <v>0.5625</v>
      </c>
      <c r="E24" s="23">
        <v>0.625</v>
      </c>
      <c r="F24" s="23">
        <v>0.77083333333333337</v>
      </c>
      <c r="G24" s="24"/>
      <c r="H24" s="24"/>
      <c r="I24" s="24"/>
      <c r="J24" s="24"/>
      <c r="K24" s="45">
        <f t="shared" si="36"/>
        <v>0.31250000000000006</v>
      </c>
      <c r="L24" s="46">
        <f t="shared" si="37"/>
        <v>7</v>
      </c>
      <c r="M24" s="47">
        <f t="shared" si="38"/>
        <v>0.5</v>
      </c>
      <c r="N24" s="48">
        <f t="shared" si="39"/>
        <v>7.5</v>
      </c>
      <c r="O24" s="22"/>
      <c r="P24" s="22"/>
      <c r="Q24" s="22"/>
      <c r="R24" s="85"/>
    </row>
    <row r="25" spans="1:24">
      <c r="A25" s="21">
        <v>30</v>
      </c>
      <c r="B25" s="22" t="s">
        <v>29</v>
      </c>
      <c r="C25" s="23">
        <v>0.39583333333333331</v>
      </c>
      <c r="D25" s="23">
        <v>0.5625</v>
      </c>
      <c r="E25" s="23">
        <v>0.625</v>
      </c>
      <c r="F25" s="23">
        <v>0.79166666666666663</v>
      </c>
      <c r="G25" s="24"/>
      <c r="H25" s="24"/>
      <c r="I25" s="24"/>
      <c r="J25" s="24"/>
      <c r="K25" s="45">
        <f t="shared" ref="K25" si="40">(D25-C25)+(F25-E25)+(H25-G25)+(J25-I25)</f>
        <v>0.33333333333333331</v>
      </c>
      <c r="L25" s="46">
        <f t="shared" ref="L25" si="41">HOUR(K25)</f>
        <v>8</v>
      </c>
      <c r="M25" s="47">
        <f t="shared" ref="M25" si="42">(MINUTE(K25))/60</f>
        <v>0</v>
      </c>
      <c r="N25" s="48">
        <f t="shared" ref="N25" si="43">+L25+M25</f>
        <v>8</v>
      </c>
      <c r="O25" s="22"/>
      <c r="P25" s="22"/>
      <c r="Q25" s="22"/>
      <c r="R25" s="85"/>
      <c r="S25" s="57"/>
      <c r="T25" s="57"/>
      <c r="U25" s="57"/>
      <c r="V25" s="57"/>
      <c r="W25" s="57"/>
      <c r="X25" s="57"/>
    </row>
    <row r="26" spans="1:24">
      <c r="A26" s="21">
        <v>1</v>
      </c>
      <c r="B26" s="22" t="s">
        <v>30</v>
      </c>
      <c r="C26" s="23">
        <v>0.39583333333333331</v>
      </c>
      <c r="D26" s="23">
        <v>0.5625</v>
      </c>
      <c r="E26" s="23">
        <v>0.625</v>
      </c>
      <c r="F26" s="23">
        <v>0.79166666666666663</v>
      </c>
      <c r="G26" s="24"/>
      <c r="H26" s="24"/>
      <c r="I26" s="24"/>
      <c r="J26" s="24"/>
      <c r="K26" s="45">
        <f t="shared" ref="K26" si="44">(D26-C26)+(F26-E26)+(H26-G26)+(J26-I26)</f>
        <v>0.33333333333333331</v>
      </c>
      <c r="L26" s="46">
        <f t="shared" ref="L26" si="45">HOUR(K26)</f>
        <v>8</v>
      </c>
      <c r="M26" s="47">
        <f t="shared" ref="M26" si="46">(MINUTE(K26))/60</f>
        <v>0</v>
      </c>
      <c r="N26" s="48">
        <f t="shared" ref="N26" si="47">+L26+M26</f>
        <v>8</v>
      </c>
      <c r="O26" s="22"/>
      <c r="P26" s="22"/>
      <c r="Q26" s="22"/>
      <c r="R26" s="85"/>
      <c r="S26" s="57"/>
      <c r="T26" s="57"/>
      <c r="U26" s="57"/>
      <c r="V26" s="57"/>
      <c r="W26" s="57"/>
      <c r="X26" s="57"/>
    </row>
    <row r="27" spans="1:24">
      <c r="A27" s="21">
        <v>2</v>
      </c>
      <c r="B27" s="22" t="s">
        <v>31</v>
      </c>
      <c r="C27" s="23">
        <v>0.41666666666666669</v>
      </c>
      <c r="D27" s="23">
        <v>0.52083333333333337</v>
      </c>
      <c r="E27" s="23"/>
      <c r="F27" s="23"/>
      <c r="G27" s="24"/>
      <c r="H27" s="24"/>
      <c r="I27" s="24"/>
      <c r="J27" s="24"/>
      <c r="K27" s="45">
        <f t="shared" ref="K27" si="48">(D27-C27)+(F27-E27)+(H27-G27)+(J27-I27)</f>
        <v>0.10416666666666669</v>
      </c>
      <c r="L27" s="46">
        <f t="shared" ref="L27" si="49">HOUR(K27)</f>
        <v>2</v>
      </c>
      <c r="M27" s="47">
        <f t="shared" ref="M27" si="50">(MINUTE(K27))/60</f>
        <v>0.5</v>
      </c>
      <c r="N27" s="48">
        <f t="shared" ref="N27" si="51">+L27+M27</f>
        <v>2.5</v>
      </c>
      <c r="O27" s="22"/>
      <c r="P27" s="22"/>
      <c r="Q27" s="22"/>
      <c r="R27" s="85"/>
      <c r="S27" s="57"/>
      <c r="T27" s="57"/>
      <c r="U27" s="57"/>
      <c r="V27" s="57"/>
      <c r="W27" s="57"/>
      <c r="X27" s="57"/>
    </row>
    <row r="28" spans="1:24">
      <c r="A28" s="21">
        <v>3</v>
      </c>
      <c r="B28" s="22" t="s">
        <v>32</v>
      </c>
      <c r="C28" s="86"/>
      <c r="D28" s="86"/>
      <c r="E28" s="86"/>
      <c r="F28" s="86"/>
      <c r="G28" s="86"/>
      <c r="H28" s="86"/>
      <c r="I28" s="86"/>
      <c r="J28" s="87"/>
      <c r="K28" s="87">
        <f>(D28-C28)+(F28-E28)+(H28-G28)+(J28-I28)</f>
        <v>0</v>
      </c>
      <c r="L28" s="88">
        <f>HOUR(K28)</f>
        <v>0</v>
      </c>
      <c r="M28" s="89">
        <f>(MINUTE(K28))/60</f>
        <v>0</v>
      </c>
      <c r="N28" s="90">
        <f>+L28+M28</f>
        <v>0</v>
      </c>
      <c r="O28" s="91">
        <f>SUM(N22:N28)</f>
        <v>42</v>
      </c>
      <c r="P28" s="91">
        <v>42</v>
      </c>
      <c r="Q28" s="92">
        <f>SUM(O28-P28)</f>
        <v>0</v>
      </c>
      <c r="R28" s="85"/>
    </row>
    <row r="29" spans="1:24">
      <c r="A29" s="21">
        <v>4</v>
      </c>
      <c r="B29" s="22" t="s">
        <v>26</v>
      </c>
      <c r="C29" s="23">
        <v>0.375</v>
      </c>
      <c r="D29" s="23">
        <v>0.5625</v>
      </c>
      <c r="E29" s="23">
        <v>0.625</v>
      </c>
      <c r="F29" s="23">
        <v>0.79166666666666663</v>
      </c>
      <c r="G29" s="24"/>
      <c r="H29" s="24"/>
      <c r="I29" s="24"/>
      <c r="J29" s="24"/>
      <c r="K29" s="45">
        <f t="shared" ref="K29" si="52">(D29-C29)+(F29-E29)+(H29-G29)+(J29-I29)</f>
        <v>0.35416666666666663</v>
      </c>
      <c r="L29" s="46">
        <f t="shared" ref="L29" si="53">HOUR(K29)</f>
        <v>8</v>
      </c>
      <c r="M29" s="47">
        <f t="shared" ref="M29" si="54">(MINUTE(K29))/60</f>
        <v>0.5</v>
      </c>
      <c r="N29" s="48">
        <f t="shared" ref="N29" si="55">+L29+M29</f>
        <v>8.5</v>
      </c>
      <c r="O29" s="22"/>
      <c r="P29" s="22"/>
      <c r="Q29" s="22"/>
      <c r="R29" s="85"/>
      <c r="S29" s="57"/>
      <c r="T29" s="57"/>
      <c r="U29" s="57"/>
      <c r="V29" s="57"/>
      <c r="W29" s="57"/>
      <c r="X29" s="57"/>
    </row>
    <row r="30" spans="1:24" s="1" customFormat="1">
      <c r="A30" s="21">
        <v>5</v>
      </c>
      <c r="B30" s="22" t="s">
        <v>27</v>
      </c>
      <c r="C30" s="23">
        <v>0.39583333333333331</v>
      </c>
      <c r="D30" s="23">
        <v>0.5625</v>
      </c>
      <c r="E30" s="23">
        <v>0.625</v>
      </c>
      <c r="F30" s="23">
        <v>0.88194444444444442</v>
      </c>
      <c r="G30" s="24"/>
      <c r="H30" s="24"/>
      <c r="I30" s="24"/>
      <c r="J30" s="24"/>
      <c r="K30" s="45">
        <f t="shared" ref="K30:K31" si="56">(D30-C30)+(F30-E30)+(H30-G30)+(J30-I30)</f>
        <v>0.4236111111111111</v>
      </c>
      <c r="L30" s="46">
        <f t="shared" ref="L30:L31" si="57">HOUR(K30)</f>
        <v>10</v>
      </c>
      <c r="M30" s="47">
        <f t="shared" ref="M30:M31" si="58">(MINUTE(K30))/60</f>
        <v>0.16666666666666666</v>
      </c>
      <c r="N30" s="48">
        <f t="shared" ref="N30:N31" si="59">+L30+M30</f>
        <v>10.166666666666666</v>
      </c>
      <c r="O30" s="22"/>
      <c r="P30" s="22"/>
      <c r="Q30" s="22"/>
      <c r="R30" s="85" t="s">
        <v>48</v>
      </c>
      <c r="S30" s="57"/>
      <c r="T30" s="57"/>
      <c r="U30" s="57"/>
      <c r="V30" s="57"/>
      <c r="W30" s="57"/>
      <c r="X30" s="57"/>
    </row>
    <row r="31" spans="1:24">
      <c r="A31" s="21">
        <v>6</v>
      </c>
      <c r="B31" s="22" t="s">
        <v>28</v>
      </c>
      <c r="C31" s="23">
        <v>0.39583333333333331</v>
      </c>
      <c r="D31" s="23">
        <v>0.5625</v>
      </c>
      <c r="E31" s="23">
        <v>0.625</v>
      </c>
      <c r="F31" s="23">
        <v>0.77083333333333337</v>
      </c>
      <c r="G31" s="24"/>
      <c r="H31" s="24"/>
      <c r="I31" s="24"/>
      <c r="J31" s="24"/>
      <c r="K31" s="45">
        <f t="shared" si="56"/>
        <v>0.31250000000000006</v>
      </c>
      <c r="L31" s="46">
        <f t="shared" si="57"/>
        <v>7</v>
      </c>
      <c r="M31" s="47">
        <f t="shared" si="58"/>
        <v>0.5</v>
      </c>
      <c r="N31" s="48">
        <f t="shared" si="59"/>
        <v>7.5</v>
      </c>
      <c r="O31" s="22"/>
      <c r="P31" s="22"/>
      <c r="Q31" s="22"/>
      <c r="R31" s="85"/>
    </row>
    <row r="32" spans="1:24">
      <c r="A32" s="21">
        <v>7</v>
      </c>
      <c r="B32" s="22" t="s">
        <v>29</v>
      </c>
      <c r="C32" s="23">
        <v>0.39583333333333331</v>
      </c>
      <c r="D32" s="23">
        <v>0.5625</v>
      </c>
      <c r="E32" s="23">
        <v>0.625</v>
      </c>
      <c r="F32" s="23">
        <v>0.84027777777777779</v>
      </c>
      <c r="G32" s="24"/>
      <c r="H32" s="24"/>
      <c r="I32" s="24"/>
      <c r="J32" s="24"/>
      <c r="K32" s="45">
        <f t="shared" ref="K32" si="60">(D32-C32)+(F32-E32)+(H32-G32)+(J32-I32)</f>
        <v>0.38194444444444448</v>
      </c>
      <c r="L32" s="46">
        <f t="shared" ref="L32" si="61">HOUR(K32)</f>
        <v>9</v>
      </c>
      <c r="M32" s="47">
        <f t="shared" ref="M32" si="62">(MINUTE(K32))/60</f>
        <v>0.16666666666666666</v>
      </c>
      <c r="N32" s="48">
        <f t="shared" ref="N32" si="63">+L32+M32</f>
        <v>9.1666666666666661</v>
      </c>
      <c r="O32" s="22"/>
      <c r="P32" s="22"/>
      <c r="Q32" s="22"/>
      <c r="R32" s="85" t="s">
        <v>47</v>
      </c>
      <c r="S32" s="57"/>
      <c r="T32" s="57"/>
      <c r="U32" s="57"/>
      <c r="V32" s="57"/>
      <c r="W32" s="57"/>
      <c r="X32" s="57"/>
    </row>
    <row r="33" spans="1:24">
      <c r="A33" s="21">
        <v>8</v>
      </c>
      <c r="B33" s="22" t="s">
        <v>30</v>
      </c>
      <c r="C33" s="23">
        <v>0.39583333333333331</v>
      </c>
      <c r="D33" s="23">
        <v>0.5625</v>
      </c>
      <c r="E33" s="23">
        <v>0.625</v>
      </c>
      <c r="F33" s="23">
        <v>0.79166666666666663</v>
      </c>
      <c r="G33" s="24"/>
      <c r="H33" s="24"/>
      <c r="I33" s="24"/>
      <c r="J33" s="24"/>
      <c r="K33" s="45">
        <f t="shared" ref="K33" si="64">(D33-C33)+(F33-E33)+(H33-G33)+(J33-I33)</f>
        <v>0.33333333333333331</v>
      </c>
      <c r="L33" s="46">
        <f t="shared" ref="L33" si="65">HOUR(K33)</f>
        <v>8</v>
      </c>
      <c r="M33" s="47">
        <f t="shared" ref="M33" si="66">(MINUTE(K33))/60</f>
        <v>0</v>
      </c>
      <c r="N33" s="48">
        <f t="shared" ref="N33" si="67">+L33+M33</f>
        <v>8</v>
      </c>
      <c r="O33" s="22"/>
      <c r="P33" s="22"/>
      <c r="Q33" s="22"/>
      <c r="R33" s="85"/>
      <c r="S33" s="57"/>
      <c r="T33" s="57"/>
      <c r="U33" s="57"/>
      <c r="V33" s="57"/>
      <c r="W33" s="57"/>
      <c r="X33" s="57"/>
    </row>
    <row r="34" spans="1:24">
      <c r="A34" s="21">
        <v>9</v>
      </c>
      <c r="B34" s="22" t="s">
        <v>31</v>
      </c>
      <c r="C34" s="23">
        <v>0.41666666666666669</v>
      </c>
      <c r="D34" s="23">
        <v>0.52083333333333337</v>
      </c>
      <c r="E34" s="23"/>
      <c r="F34" s="23"/>
      <c r="G34" s="24"/>
      <c r="H34" s="24"/>
      <c r="I34" s="24"/>
      <c r="J34" s="24"/>
      <c r="K34" s="45">
        <f t="shared" ref="K34" si="68">(D34-C34)+(F34-E34)+(H34-G34)+(J34-I34)</f>
        <v>0.10416666666666669</v>
      </c>
      <c r="L34" s="46">
        <f t="shared" ref="L34" si="69">HOUR(K34)</f>
        <v>2</v>
      </c>
      <c r="M34" s="47">
        <f t="shared" ref="M34" si="70">(MINUTE(K34))/60</f>
        <v>0.5</v>
      </c>
      <c r="N34" s="48">
        <f t="shared" ref="N34" si="71">+L34+M34</f>
        <v>2.5</v>
      </c>
      <c r="O34" s="22"/>
      <c r="P34" s="22"/>
      <c r="Q34" s="22"/>
      <c r="R34" s="85"/>
      <c r="S34" s="57"/>
      <c r="T34" s="57"/>
      <c r="U34" s="57"/>
      <c r="V34" s="57"/>
      <c r="W34" s="57"/>
      <c r="X34" s="57"/>
    </row>
    <row r="35" spans="1:24">
      <c r="A35" s="21">
        <v>10</v>
      </c>
      <c r="B35" s="22" t="s">
        <v>32</v>
      </c>
      <c r="C35" s="116">
        <v>0.63888888888888884</v>
      </c>
      <c r="D35" s="116">
        <v>0.72222222222222221</v>
      </c>
      <c r="E35" s="116"/>
      <c r="F35" s="116"/>
      <c r="G35" s="116"/>
      <c r="H35" s="116"/>
      <c r="I35" s="116"/>
      <c r="J35" s="117"/>
      <c r="K35" s="117">
        <f>(D35-C35)+(F35-E35)+(H35-G35)+(J35-I35)</f>
        <v>8.333333333333337E-2</v>
      </c>
      <c r="L35" s="118">
        <f>HOUR(K35)</f>
        <v>2</v>
      </c>
      <c r="M35" s="119">
        <f>(MINUTE(K35))/60</f>
        <v>0</v>
      </c>
      <c r="N35" s="120">
        <f>+L35+M35</f>
        <v>2</v>
      </c>
      <c r="O35" s="121">
        <f>SUM(N29:N35)</f>
        <v>47.833333333333329</v>
      </c>
      <c r="P35" s="121">
        <v>42</v>
      </c>
      <c r="Q35" s="122">
        <f>SUM(O35-P35)</f>
        <v>5.8333333333333286</v>
      </c>
      <c r="R35" s="94" t="s">
        <v>49</v>
      </c>
    </row>
    <row r="36" spans="1:24">
      <c r="A36" s="21">
        <v>11</v>
      </c>
      <c r="B36" s="22" t="s">
        <v>26</v>
      </c>
      <c r="C36" s="23">
        <v>0.375</v>
      </c>
      <c r="D36" s="23">
        <v>0.5625</v>
      </c>
      <c r="E36" s="23">
        <v>0.625</v>
      </c>
      <c r="F36" s="23">
        <v>0.79166666666666663</v>
      </c>
      <c r="G36" s="24"/>
      <c r="H36" s="24"/>
      <c r="I36" s="24"/>
      <c r="J36" s="24"/>
      <c r="K36" s="45">
        <f t="shared" ref="K36" si="72">(D36-C36)+(F36-E36)+(H36-G36)+(J36-I36)</f>
        <v>0.35416666666666663</v>
      </c>
      <c r="L36" s="46">
        <f t="shared" ref="L36" si="73">HOUR(K36)</f>
        <v>8</v>
      </c>
      <c r="M36" s="47">
        <f t="shared" ref="M36" si="74">(MINUTE(K36))/60</f>
        <v>0.5</v>
      </c>
      <c r="N36" s="48">
        <f t="shared" ref="N36" si="75">+L36+M36</f>
        <v>8.5</v>
      </c>
      <c r="O36" s="22"/>
      <c r="P36" s="22"/>
      <c r="Q36" s="22"/>
      <c r="R36" s="85"/>
      <c r="S36" s="57"/>
      <c r="T36" s="57"/>
      <c r="U36" s="57"/>
      <c r="V36" s="57"/>
      <c r="W36" s="57"/>
      <c r="X36" s="57"/>
    </row>
    <row r="37" spans="1:24" s="1" customFormat="1">
      <c r="A37" s="21">
        <v>12</v>
      </c>
      <c r="B37" s="22" t="s">
        <v>27</v>
      </c>
      <c r="C37" s="23">
        <v>0.39583333333333331</v>
      </c>
      <c r="D37" s="23">
        <v>0.5625</v>
      </c>
      <c r="E37" s="23">
        <v>0.625</v>
      </c>
      <c r="F37" s="23">
        <v>0.77083333333333337</v>
      </c>
      <c r="G37" s="24"/>
      <c r="H37" s="24"/>
      <c r="I37" s="24"/>
      <c r="J37" s="24"/>
      <c r="K37" s="45">
        <f t="shared" ref="K37:K38" si="76">(D37-C37)+(F37-E37)+(H37-G37)+(J37-I37)</f>
        <v>0.31250000000000006</v>
      </c>
      <c r="L37" s="46">
        <f t="shared" ref="L37:L38" si="77">HOUR(K37)</f>
        <v>7</v>
      </c>
      <c r="M37" s="47">
        <f t="shared" ref="M37:M38" si="78">(MINUTE(K37))/60</f>
        <v>0.5</v>
      </c>
      <c r="N37" s="48">
        <f t="shared" ref="N37:N38" si="79">+L37+M37</f>
        <v>7.5</v>
      </c>
      <c r="O37" s="22"/>
      <c r="P37" s="22"/>
      <c r="Q37" s="22"/>
      <c r="R37" s="22"/>
      <c r="S37" s="57"/>
      <c r="T37" s="57"/>
      <c r="U37" s="57"/>
      <c r="V37" s="57"/>
      <c r="W37" s="57"/>
      <c r="X37" s="57"/>
    </row>
    <row r="38" spans="1:24">
      <c r="A38" s="21">
        <v>13</v>
      </c>
      <c r="B38" s="22" t="s">
        <v>28</v>
      </c>
      <c r="C38" s="23">
        <v>0.39583333333333331</v>
      </c>
      <c r="D38" s="23">
        <v>0.5625</v>
      </c>
      <c r="E38" s="23">
        <v>0.625</v>
      </c>
      <c r="F38" s="23">
        <v>0.77083333333333337</v>
      </c>
      <c r="G38" s="24"/>
      <c r="H38" s="24"/>
      <c r="I38" s="24"/>
      <c r="J38" s="24"/>
      <c r="K38" s="45">
        <f t="shared" si="76"/>
        <v>0.31250000000000006</v>
      </c>
      <c r="L38" s="46">
        <f t="shared" si="77"/>
        <v>7</v>
      </c>
      <c r="M38" s="47">
        <f t="shared" si="78"/>
        <v>0.5</v>
      </c>
      <c r="N38" s="48">
        <f t="shared" si="79"/>
        <v>7.5</v>
      </c>
      <c r="O38" s="22"/>
      <c r="P38" s="22"/>
      <c r="Q38" s="22"/>
      <c r="R38" s="22"/>
    </row>
    <row r="39" spans="1:24">
      <c r="A39" s="21">
        <v>14</v>
      </c>
      <c r="B39" s="22" t="s">
        <v>29</v>
      </c>
      <c r="C39" s="23">
        <v>0.39583333333333331</v>
      </c>
      <c r="D39" s="23">
        <v>0.5625</v>
      </c>
      <c r="E39" s="23">
        <v>0.625</v>
      </c>
      <c r="F39" s="23">
        <v>0.79166666666666663</v>
      </c>
      <c r="G39" s="24"/>
      <c r="H39" s="24"/>
      <c r="I39" s="24"/>
      <c r="J39" s="24"/>
      <c r="K39" s="45">
        <f t="shared" ref="K39" si="80">(D39-C39)+(F39-E39)+(H39-G39)+(J39-I39)</f>
        <v>0.33333333333333331</v>
      </c>
      <c r="L39" s="46">
        <f t="shared" ref="L39" si="81">HOUR(K39)</f>
        <v>8</v>
      </c>
      <c r="M39" s="47">
        <f t="shared" ref="M39" si="82">(MINUTE(K39))/60</f>
        <v>0</v>
      </c>
      <c r="N39" s="48">
        <f t="shared" ref="N39" si="83">+L39+M39</f>
        <v>8</v>
      </c>
      <c r="O39" s="22"/>
      <c r="P39" s="22"/>
      <c r="Q39" s="22"/>
      <c r="R39" s="85"/>
      <c r="S39" s="57"/>
      <c r="T39" s="57"/>
      <c r="U39" s="57"/>
      <c r="V39" s="57"/>
      <c r="W39" s="57"/>
      <c r="X39" s="57"/>
    </row>
    <row r="40" spans="1:24">
      <c r="A40" s="21">
        <v>15</v>
      </c>
      <c r="B40" s="22" t="s">
        <v>30</v>
      </c>
      <c r="C40" s="23">
        <v>0.39583333333333331</v>
      </c>
      <c r="D40" s="23">
        <v>0.5625</v>
      </c>
      <c r="E40" s="23">
        <v>0.625</v>
      </c>
      <c r="F40" s="23">
        <v>0.79166666666666663</v>
      </c>
      <c r="G40" s="24"/>
      <c r="H40" s="24"/>
      <c r="I40" s="24"/>
      <c r="J40" s="24"/>
      <c r="K40" s="45">
        <f t="shared" ref="K40" si="84">(D40-C40)+(F40-E40)+(H40-G40)+(J40-I40)</f>
        <v>0.33333333333333331</v>
      </c>
      <c r="L40" s="46">
        <f t="shared" ref="L40" si="85">HOUR(K40)</f>
        <v>8</v>
      </c>
      <c r="M40" s="47">
        <f t="shared" ref="M40" si="86">(MINUTE(K40))/60</f>
        <v>0</v>
      </c>
      <c r="N40" s="48">
        <f t="shared" ref="N40" si="87">+L40+M40</f>
        <v>8</v>
      </c>
      <c r="O40" s="22"/>
      <c r="P40" s="22"/>
      <c r="Q40" s="22"/>
      <c r="R40" s="22"/>
      <c r="S40" s="57"/>
      <c r="T40" s="57"/>
      <c r="U40" s="57"/>
      <c r="V40" s="57"/>
      <c r="W40" s="57"/>
      <c r="X40" s="57"/>
    </row>
    <row r="41" spans="1:24">
      <c r="A41" s="21">
        <v>16</v>
      </c>
      <c r="B41" s="22" t="s">
        <v>31</v>
      </c>
      <c r="C41" s="23">
        <v>0.41666666666666669</v>
      </c>
      <c r="D41" s="23">
        <v>0.52083333333333337</v>
      </c>
      <c r="E41" s="23"/>
      <c r="F41" s="23"/>
      <c r="G41" s="24"/>
      <c r="H41" s="24"/>
      <c r="I41" s="24"/>
      <c r="J41" s="24"/>
      <c r="K41" s="45">
        <f t="shared" ref="K41" si="88">(D41-C41)+(F41-E41)+(H41-G41)+(J41-I41)</f>
        <v>0.10416666666666669</v>
      </c>
      <c r="L41" s="46">
        <f t="shared" ref="L41" si="89">HOUR(K41)</f>
        <v>2</v>
      </c>
      <c r="M41" s="47">
        <f t="shared" ref="M41" si="90">(MINUTE(K41))/60</f>
        <v>0.5</v>
      </c>
      <c r="N41" s="48">
        <f t="shared" ref="N41" si="91">+L41+M41</f>
        <v>2.5</v>
      </c>
      <c r="O41" s="22"/>
      <c r="P41" s="22"/>
      <c r="Q41" s="22"/>
      <c r="R41" s="85"/>
      <c r="S41" s="57"/>
      <c r="T41" s="57"/>
      <c r="U41" s="57"/>
      <c r="V41" s="57"/>
      <c r="W41" s="57"/>
      <c r="X41" s="57"/>
    </row>
    <row r="42" spans="1:24">
      <c r="A42" s="21">
        <v>17</v>
      </c>
      <c r="B42" s="22" t="s">
        <v>32</v>
      </c>
      <c r="C42" s="95"/>
      <c r="D42" s="95"/>
      <c r="E42" s="95"/>
      <c r="F42" s="95"/>
      <c r="G42" s="95"/>
      <c r="H42" s="95"/>
      <c r="I42" s="95"/>
      <c r="J42" s="96"/>
      <c r="K42" s="96">
        <f>(D42-C42)+(F42-E42)+(H42-G42)+(J42-I42)</f>
        <v>0</v>
      </c>
      <c r="L42" s="97">
        <f>HOUR(K42)</f>
        <v>0</v>
      </c>
      <c r="M42" s="98">
        <f>(MINUTE(K42))/60</f>
        <v>0</v>
      </c>
      <c r="N42" s="99">
        <f>+L42+M42</f>
        <v>0</v>
      </c>
      <c r="O42" s="100">
        <f>SUM(N36:N42)</f>
        <v>42</v>
      </c>
      <c r="P42" s="100">
        <v>42</v>
      </c>
      <c r="Q42" s="101">
        <f>SUM(O42-P42)</f>
        <v>0</v>
      </c>
    </row>
    <row r="43" spans="1:24" s="1" customFormat="1">
      <c r="A43" s="25"/>
      <c r="S43" s="57"/>
      <c r="T43" s="57"/>
      <c r="U43" s="57"/>
      <c r="V43" s="57"/>
      <c r="W43" s="57"/>
      <c r="X43" s="57"/>
    </row>
    <row r="45" spans="1:24" ht="13.5" thickBot="1">
      <c r="A45" s="26"/>
      <c r="C45" s="27"/>
      <c r="D45" s="27"/>
      <c r="E45" s="27"/>
      <c r="F45" s="27"/>
      <c r="G45" s="27"/>
      <c r="H45" s="27"/>
      <c r="I45" s="27"/>
      <c r="J45" s="27"/>
      <c r="K45" s="49"/>
      <c r="L45" s="27"/>
      <c r="M45" s="27"/>
      <c r="N45" s="50">
        <f>SUM(N7:N42)</f>
        <v>206.99999999999997</v>
      </c>
      <c r="O45" s="51">
        <f>SUM(O11:O42)</f>
        <v>207</v>
      </c>
      <c r="P45" s="51">
        <f>SUM(P11:P42)</f>
        <v>186.5</v>
      </c>
      <c r="Q45" s="51">
        <f>SUM(Q13:Q42)</f>
        <v>20.499999999999996</v>
      </c>
      <c r="S45" s="57"/>
      <c r="T45" s="61"/>
      <c r="U45" s="62"/>
      <c r="V45" s="57"/>
      <c r="W45" s="57"/>
      <c r="X45" s="57"/>
    </row>
    <row r="46" spans="1:24" ht="13.5" thickBot="1">
      <c r="K46" s="52"/>
      <c r="N46" s="53"/>
      <c r="O46" s="54"/>
      <c r="P46" s="54"/>
      <c r="Q46" s="63"/>
      <c r="R46" s="64">
        <v>0.5</v>
      </c>
      <c r="S46" s="64">
        <v>1</v>
      </c>
      <c r="U46" s="65"/>
    </row>
    <row r="47" spans="1:24">
      <c r="A47" s="28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49"/>
      <c r="M47" s="27"/>
      <c r="N47" s="27"/>
      <c r="O47" s="27"/>
      <c r="P47" s="27"/>
      <c r="Q47" s="66"/>
      <c r="U47" s="65"/>
    </row>
    <row r="48" spans="1:24" ht="14.25">
      <c r="A48" s="29" t="s">
        <v>33</v>
      </c>
      <c r="C48" s="30"/>
      <c r="D48" s="30"/>
      <c r="E48" s="30"/>
      <c r="F48" s="30"/>
      <c r="G48" s="31"/>
      <c r="H48" s="32"/>
      <c r="L48" s="52"/>
      <c r="Q48" s="67"/>
      <c r="R48" s="29"/>
      <c r="S48" s="29"/>
      <c r="T48" s="29"/>
      <c r="U48" s="68"/>
    </row>
    <row r="49" spans="1:21" ht="14.25">
      <c r="A49" s="29" t="s">
        <v>34</v>
      </c>
      <c r="C49" s="30"/>
      <c r="D49" s="30"/>
      <c r="E49" s="30"/>
      <c r="F49" s="30"/>
      <c r="G49" s="31"/>
      <c r="H49" s="32"/>
      <c r="L49" s="52"/>
      <c r="Q49" s="67"/>
      <c r="U49" s="65"/>
    </row>
    <row r="50" spans="1:21">
      <c r="A50" s="33" t="s">
        <v>35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69"/>
      <c r="U50" s="65"/>
    </row>
    <row r="51" spans="1:21">
      <c r="A51" s="34" t="s">
        <v>36</v>
      </c>
      <c r="L51" s="52"/>
      <c r="Q51" s="67"/>
      <c r="U51" s="65"/>
    </row>
    <row r="52" spans="1:21">
      <c r="A52" s="34"/>
      <c r="L52" s="52"/>
      <c r="Q52" s="67"/>
      <c r="R52" s="3" t="s">
        <v>37</v>
      </c>
      <c r="U52" s="11"/>
    </row>
    <row r="53" spans="1:21">
      <c r="A53" s="34"/>
      <c r="L53" s="52"/>
      <c r="Q53" s="67"/>
      <c r="R53" s="70" t="s">
        <v>38</v>
      </c>
    </row>
    <row r="54" spans="1:21" ht="4.5" customHeight="1">
      <c r="A54" s="34"/>
      <c r="L54" s="52"/>
      <c r="Q54" s="67"/>
      <c r="R54" s="13"/>
    </row>
    <row r="55" spans="1:21" ht="27.75" customHeight="1">
      <c r="A55" s="34"/>
      <c r="B55" s="35" t="s">
        <v>39</v>
      </c>
      <c r="C55" s="35"/>
      <c r="D55" s="35"/>
      <c r="J55" s="35" t="s">
        <v>40</v>
      </c>
      <c r="K55" s="35"/>
      <c r="L55" s="35"/>
      <c r="M55" s="35"/>
      <c r="N55" s="35"/>
      <c r="O55" s="35"/>
      <c r="Q55" s="67"/>
      <c r="R55" s="71"/>
    </row>
    <row r="56" spans="1:21" ht="30" customHeight="1">
      <c r="A56" s="36"/>
      <c r="K56" s="52"/>
      <c r="R56" s="72"/>
    </row>
    <row r="57" spans="1:21">
      <c r="A57" s="36"/>
      <c r="B57" s="115"/>
      <c r="C57" s="115"/>
      <c r="D57" s="115"/>
      <c r="J57" s="115"/>
      <c r="K57" s="115"/>
      <c r="L57" s="115"/>
      <c r="M57" s="115"/>
      <c r="N57" s="115"/>
      <c r="R57" s="65"/>
    </row>
    <row r="58" spans="1:21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55"/>
      <c r="L58" s="38"/>
      <c r="M58" s="38"/>
      <c r="N58" s="38"/>
      <c r="O58" s="38"/>
      <c r="P58" s="38"/>
      <c r="Q58" s="38"/>
      <c r="R58" s="65"/>
    </row>
    <row r="59" spans="1:21">
      <c r="K59" s="52"/>
      <c r="R59" s="65"/>
    </row>
    <row r="60" spans="1:21">
      <c r="K60" s="52"/>
      <c r="R60" s="73"/>
    </row>
    <row r="61" spans="1:21">
      <c r="K61" s="52"/>
      <c r="R61" s="74"/>
    </row>
    <row r="62" spans="1:21" ht="6" customHeight="1">
      <c r="K62" s="52"/>
      <c r="R62" s="75"/>
    </row>
    <row r="63" spans="1:21">
      <c r="K63" s="52">
        <f>400887*3.8/100</f>
        <v>15233.705999999998</v>
      </c>
      <c r="L63" s="3">
        <f>400887+15233</f>
        <v>416120</v>
      </c>
      <c r="N63" s="56">
        <v>400887</v>
      </c>
      <c r="O63" s="3">
        <v>400887</v>
      </c>
      <c r="Q63" s="3">
        <v>360798</v>
      </c>
    </row>
    <row r="64" spans="1:21">
      <c r="K64" s="52">
        <f>24053*3.8/100</f>
        <v>914.0139999999999</v>
      </c>
      <c r="L64" s="3">
        <f>24053+914</f>
        <v>24967</v>
      </c>
      <c r="N64" s="56">
        <v>24053</v>
      </c>
      <c r="O64" s="3">
        <v>24053</v>
      </c>
      <c r="Q64" s="3">
        <f>24053/30*27</f>
        <v>21647.7</v>
      </c>
    </row>
    <row r="65" spans="7:18">
      <c r="K65" s="52"/>
      <c r="L65" s="3">
        <v>34802</v>
      </c>
      <c r="N65" s="56">
        <v>34802</v>
      </c>
      <c r="O65" s="3">
        <f>3305.058*10.53</f>
        <v>34802.260739999998</v>
      </c>
      <c r="P65" s="3">
        <f>3305.058*9</f>
        <v>29745.522000000001</v>
      </c>
      <c r="Q65" s="3">
        <v>38190</v>
      </c>
    </row>
    <row r="66" spans="7:18">
      <c r="G66" s="3">
        <v>15000</v>
      </c>
      <c r="K66" s="52"/>
      <c r="L66" s="3">
        <v>26785</v>
      </c>
      <c r="N66" s="56">
        <v>26785</v>
      </c>
      <c r="O66" s="3">
        <f>593*20</f>
        <v>11860</v>
      </c>
      <c r="Q66" s="3">
        <v>26785</v>
      </c>
    </row>
    <row r="67" spans="7:18">
      <c r="G67" s="3">
        <f>SUM(G66*10/100)</f>
        <v>1500</v>
      </c>
      <c r="K67" s="52"/>
      <c r="L67" s="76">
        <f>SUM(L63:L66)</f>
        <v>502674</v>
      </c>
      <c r="N67" s="77">
        <f>SUM(N63:N66)</f>
        <v>486527</v>
      </c>
      <c r="O67" s="3">
        <v>20112</v>
      </c>
      <c r="P67" s="78"/>
      <c r="Q67" s="3">
        <f>SUM(Q63:Q66)</f>
        <v>447420.7</v>
      </c>
      <c r="R67" s="3">
        <f>400887/30*27</f>
        <v>360798.3</v>
      </c>
    </row>
    <row r="68" spans="7:18">
      <c r="G68" s="3">
        <f>SUM(G66-G67)</f>
        <v>13500</v>
      </c>
      <c r="K68" s="52"/>
      <c r="N68" s="56"/>
      <c r="P68" s="78"/>
    </row>
    <row r="69" spans="7:18">
      <c r="K69" s="52"/>
      <c r="N69" s="56"/>
      <c r="P69" s="78">
        <f>339170*0.007777</f>
        <v>2637.7250899999999</v>
      </c>
      <c r="Q69" s="3">
        <v>20112</v>
      </c>
    </row>
    <row r="70" spans="7:18">
      <c r="K70" s="52">
        <v>593</v>
      </c>
      <c r="L70" s="3">
        <f>593*21</f>
        <v>12453</v>
      </c>
      <c r="N70" s="56">
        <v>11860</v>
      </c>
      <c r="O70" s="3">
        <f>593*20</f>
        <v>11860</v>
      </c>
      <c r="P70" s="78" t="e">
        <f>P69*#REF!</f>
        <v>#REF!</v>
      </c>
      <c r="Q70" s="3">
        <f>580*17</f>
        <v>9860</v>
      </c>
    </row>
    <row r="71" spans="7:18">
      <c r="K71" s="52">
        <v>764</v>
      </c>
      <c r="L71" s="3">
        <f>20112+764</f>
        <v>20876</v>
      </c>
      <c r="N71" s="56">
        <v>20112</v>
      </c>
      <c r="P71" s="78" t="e">
        <f>P70*0.2</f>
        <v>#REF!</v>
      </c>
    </row>
    <row r="72" spans="7:18">
      <c r="K72" s="52"/>
      <c r="N72" s="56">
        <v>2750</v>
      </c>
      <c r="P72" s="78" t="e">
        <f>P70-P71</f>
        <v>#REF!</v>
      </c>
    </row>
    <row r="73" spans="7:18">
      <c r="K73" s="52"/>
      <c r="L73" s="76">
        <f>SUM(L70:L72)</f>
        <v>33329</v>
      </c>
      <c r="N73" s="77">
        <f>SUM(N70:N72)</f>
        <v>34722</v>
      </c>
      <c r="P73" s="78"/>
    </row>
    <row r="74" spans="7:18">
      <c r="K74" s="52"/>
      <c r="N74" s="56"/>
      <c r="P74" s="78"/>
    </row>
    <row r="75" spans="7:18">
      <c r="K75" s="52">
        <v>12.65</v>
      </c>
      <c r="L75" s="79">
        <f>SUM(L67*12.65/100)</f>
        <v>63588.261000000006</v>
      </c>
      <c r="N75" s="56">
        <v>63749</v>
      </c>
    </row>
    <row r="76" spans="7:18">
      <c r="K76" s="52">
        <v>4.42</v>
      </c>
      <c r="L76" s="3">
        <v>99000</v>
      </c>
      <c r="N76" s="56">
        <v>97735</v>
      </c>
    </row>
    <row r="77" spans="7:18">
      <c r="K77" s="52"/>
      <c r="L77" s="79">
        <f>SUM(L67*0.6/100)</f>
        <v>3016.0439999999999</v>
      </c>
      <c r="N77" s="56">
        <v>3024</v>
      </c>
      <c r="P77" s="3">
        <f>394457*0.0072916</f>
        <v>2876.2226611999999</v>
      </c>
    </row>
    <row r="78" spans="7:18">
      <c r="K78" s="52"/>
      <c r="L78" s="80">
        <f>SUM(L75:L77)</f>
        <v>165604.30499999999</v>
      </c>
      <c r="N78" s="81">
        <f>SUM(N75:N77)</f>
        <v>164508</v>
      </c>
      <c r="P78" s="3">
        <f>2872.89*10</f>
        <v>28728.899999999998</v>
      </c>
      <c r="Q78" s="11">
        <v>394457</v>
      </c>
    </row>
    <row r="79" spans="7:18">
      <c r="K79" s="52"/>
      <c r="N79" s="56"/>
      <c r="P79" s="11">
        <v>394457</v>
      </c>
      <c r="Q79" s="11">
        <v>23667</v>
      </c>
    </row>
    <row r="80" spans="7:18">
      <c r="K80" s="52"/>
      <c r="N80" s="56"/>
      <c r="P80" s="3">
        <v>394457</v>
      </c>
      <c r="Q80" s="11">
        <v>26785</v>
      </c>
    </row>
    <row r="81" spans="11:19">
      <c r="K81" s="52"/>
      <c r="N81" s="56"/>
      <c r="Q81" s="84">
        <f>2876.22*8.05</f>
        <v>23153.571</v>
      </c>
    </row>
    <row r="82" spans="11:19">
      <c r="K82" s="52"/>
      <c r="L82" s="3">
        <v>21428</v>
      </c>
      <c r="N82" s="56">
        <v>21428</v>
      </c>
    </row>
    <row r="83" spans="11:19">
      <c r="K83" s="52"/>
      <c r="L83" s="3">
        <v>4363</v>
      </c>
      <c r="N83" s="56">
        <v>4363</v>
      </c>
      <c r="Q83" s="79">
        <f>SUM(Q78:Q82)</f>
        <v>468062.571</v>
      </c>
    </row>
    <row r="84" spans="11:19">
      <c r="K84" s="52"/>
      <c r="L84" s="79">
        <f>SUM(L67*1.7/100)</f>
        <v>8545.4579999999987</v>
      </c>
      <c r="N84" s="56">
        <v>8567</v>
      </c>
      <c r="S84" s="3">
        <v>56281</v>
      </c>
    </row>
    <row r="85" spans="11:19">
      <c r="K85" s="52"/>
      <c r="L85" s="3">
        <v>2625</v>
      </c>
      <c r="N85" s="56">
        <v>2625</v>
      </c>
      <c r="P85" s="3">
        <v>12.65</v>
      </c>
      <c r="Q85" s="79">
        <f>468063*12.65/100</f>
        <v>59209.969499999999</v>
      </c>
      <c r="S85" s="3">
        <v>94049</v>
      </c>
    </row>
    <row r="86" spans="11:19">
      <c r="K86" s="52"/>
      <c r="L86" s="3">
        <v>14285</v>
      </c>
      <c r="N86" s="56">
        <v>14285</v>
      </c>
      <c r="Q86" s="3">
        <v>94049</v>
      </c>
    </row>
    <row r="87" spans="11:19">
      <c r="K87" s="52"/>
      <c r="L87" s="80">
        <f>SUM(L82:L86)</f>
        <v>51246.457999999999</v>
      </c>
      <c r="N87" s="81">
        <f>SUM(N82:N86)</f>
        <v>51268</v>
      </c>
      <c r="Q87" s="79">
        <f>SUM(Q85:Q86)</f>
        <v>153258.96950000001</v>
      </c>
    </row>
    <row r="88" spans="11:19">
      <c r="K88" s="52"/>
    </row>
    <row r="89" spans="11:19">
      <c r="K89" s="52"/>
      <c r="L89" s="82">
        <f>SUM(L67+L73-L78-L87)</f>
        <v>319152.23700000002</v>
      </c>
      <c r="N89" s="83">
        <f>SUM(N67+N73-N78-N87)</f>
        <v>305473</v>
      </c>
      <c r="Q89" s="79">
        <f>SUM(Q83-Q87)</f>
        <v>314803.60149999999</v>
      </c>
    </row>
    <row r="90" spans="11:19">
      <c r="K90" s="52"/>
    </row>
    <row r="91" spans="11:19">
      <c r="K91" s="52"/>
    </row>
    <row r="92" spans="11:19">
      <c r="K92" s="52"/>
    </row>
    <row r="93" spans="11:19">
      <c r="K93" s="52"/>
    </row>
    <row r="94" spans="11:19">
      <c r="K94" s="52"/>
    </row>
    <row r="95" spans="11:19">
      <c r="K95" s="52"/>
    </row>
    <row r="96" spans="11:19">
      <c r="K96" s="52"/>
    </row>
    <row r="97" spans="11:11">
      <c r="K97" s="52"/>
    </row>
    <row r="98" spans="11:11">
      <c r="K98" s="52"/>
    </row>
    <row r="99" spans="11:11">
      <c r="K99" s="52"/>
    </row>
    <row r="100" spans="11:11">
      <c r="K100" s="52"/>
    </row>
    <row r="101" spans="11:11">
      <c r="K101" s="52"/>
    </row>
    <row r="102" spans="11:11">
      <c r="K102" s="52"/>
    </row>
    <row r="103" spans="11:11">
      <c r="K103" s="52"/>
    </row>
    <row r="104" spans="11:11">
      <c r="K104" s="52"/>
    </row>
    <row r="105" spans="11:11">
      <c r="K105" s="52"/>
    </row>
    <row r="106" spans="11:11">
      <c r="K106" s="52"/>
    </row>
    <row r="107" spans="11:11">
      <c r="K107" s="52"/>
    </row>
    <row r="108" spans="11:11">
      <c r="K108" s="52"/>
    </row>
    <row r="109" spans="11:11">
      <c r="K109" s="52"/>
    </row>
    <row r="110" spans="11:11">
      <c r="K110" s="52"/>
    </row>
    <row r="111" spans="11:11">
      <c r="K111" s="52"/>
    </row>
    <row r="112" spans="11:11">
      <c r="K112" s="52"/>
    </row>
    <row r="113" spans="11:11">
      <c r="K113" s="52"/>
    </row>
    <row r="114" spans="11:11">
      <c r="K114" s="52"/>
    </row>
    <row r="115" spans="11:11">
      <c r="K115" s="52"/>
    </row>
    <row r="116" spans="11:11">
      <c r="K116" s="52"/>
    </row>
    <row r="117" spans="11:11">
      <c r="K117" s="52"/>
    </row>
    <row r="118" spans="11:11">
      <c r="K118" s="52"/>
    </row>
    <row r="119" spans="11:11">
      <c r="K119" s="52"/>
    </row>
    <row r="120" spans="11:11">
      <c r="K120" s="52"/>
    </row>
    <row r="121" spans="11:11">
      <c r="K121" s="52"/>
    </row>
    <row r="122" spans="11:11">
      <c r="K122" s="52"/>
    </row>
    <row r="123" spans="11:11">
      <c r="K123" s="52"/>
    </row>
    <row r="124" spans="11:11">
      <c r="K124" s="52"/>
    </row>
    <row r="125" spans="11:11">
      <c r="K125" s="52"/>
    </row>
    <row r="126" spans="11:11">
      <c r="K126" s="52"/>
    </row>
    <row r="127" spans="11:11">
      <c r="K127" s="52"/>
    </row>
    <row r="128" spans="11:11">
      <c r="K128" s="52"/>
    </row>
    <row r="129" spans="11:11">
      <c r="K129" s="52"/>
    </row>
    <row r="130" spans="11:11">
      <c r="K130" s="52"/>
    </row>
    <row r="131" spans="11:11">
      <c r="K131" s="52"/>
    </row>
    <row r="132" spans="11:11">
      <c r="K132" s="52"/>
    </row>
    <row r="133" spans="11:11">
      <c r="K133" s="52"/>
    </row>
    <row r="134" spans="11:11">
      <c r="K134" s="52"/>
    </row>
    <row r="135" spans="11:11">
      <c r="K135" s="52"/>
    </row>
    <row r="136" spans="11:11">
      <c r="K136" s="52"/>
    </row>
    <row r="137" spans="11:11">
      <c r="K137" s="52"/>
    </row>
    <row r="138" spans="11:11">
      <c r="K138" s="52"/>
    </row>
    <row r="139" spans="11:11">
      <c r="K139" s="52"/>
    </row>
    <row r="140" spans="11:11">
      <c r="K140" s="52"/>
    </row>
    <row r="141" spans="11:11">
      <c r="K141" s="52"/>
    </row>
    <row r="142" spans="11:11">
      <c r="K142" s="52"/>
    </row>
    <row r="143" spans="11:11">
      <c r="K143" s="52"/>
    </row>
    <row r="144" spans="11:11">
      <c r="K144" s="52"/>
    </row>
    <row r="145" spans="11:11">
      <c r="K145" s="52"/>
    </row>
    <row r="146" spans="11:11">
      <c r="K146" s="52"/>
    </row>
    <row r="147" spans="11:11">
      <c r="K147" s="52"/>
    </row>
    <row r="148" spans="11:11">
      <c r="K148" s="52"/>
    </row>
    <row r="149" spans="11:11">
      <c r="K149" s="52"/>
    </row>
    <row r="150" spans="11:11">
      <c r="K150" s="52"/>
    </row>
    <row r="151" spans="11:11">
      <c r="K151" s="52"/>
    </row>
    <row r="152" spans="11:11">
      <c r="K152" s="52"/>
    </row>
    <row r="153" spans="11:11">
      <c r="K153" s="52"/>
    </row>
    <row r="154" spans="11:11">
      <c r="K154" s="52"/>
    </row>
    <row r="155" spans="11:11">
      <c r="K155" s="52"/>
    </row>
    <row r="156" spans="11:11">
      <c r="K156" s="52"/>
    </row>
    <row r="157" spans="11:11">
      <c r="K157" s="52"/>
    </row>
    <row r="158" spans="11:11">
      <c r="K158" s="52"/>
    </row>
    <row r="159" spans="11:11">
      <c r="K159" s="52"/>
    </row>
    <row r="160" spans="11:11">
      <c r="K160" s="52"/>
    </row>
    <row r="161" spans="11:11">
      <c r="K161" s="52"/>
    </row>
    <row r="162" spans="11:11">
      <c r="K162" s="52"/>
    </row>
    <row r="163" spans="11:11">
      <c r="K163" s="52"/>
    </row>
  </sheetData>
  <sheetProtection selectLockedCells="1" selectUnlockedCells="1"/>
  <mergeCells count="16">
    <mergeCell ref="L9:N9"/>
    <mergeCell ref="O9:Q9"/>
    <mergeCell ref="A10:B10"/>
    <mergeCell ref="L10:N10"/>
    <mergeCell ref="B57:D57"/>
    <mergeCell ref="J57:N57"/>
    <mergeCell ref="A7:C7"/>
    <mergeCell ref="D7:I7"/>
    <mergeCell ref="P7:Q7"/>
    <mergeCell ref="F8:O8"/>
    <mergeCell ref="P8:Q8"/>
    <mergeCell ref="A2:R2"/>
    <mergeCell ref="A4:C4"/>
    <mergeCell ref="D4:H4"/>
    <mergeCell ref="A5:R5"/>
    <mergeCell ref="A6:R6"/>
  </mergeCells>
  <phoneticPr fontId="10" type="noConversion"/>
  <pageMargins left="0.75" right="0.75" top="1" bottom="1" header="0.51180555555555596" footer="0.51180555555555596"/>
  <pageSetup scale="60" firstPageNumber="0" orientation="landscape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letelier contreras</dc:creator>
  <cp:lastModifiedBy>Andres Garrido Cepeda</cp:lastModifiedBy>
  <dcterms:created xsi:type="dcterms:W3CDTF">2016-09-20T21:25:00Z</dcterms:created>
  <dcterms:modified xsi:type="dcterms:W3CDTF">2026-05-18T19:35:28Z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660745D893AB415596ED52373F486A0C_13</vt:lpwstr>
  </property>
  <property fmtid="{D5CDD505-2E9C-101B-9397-08002B2CF9AE}" pid="3" name="KSOProductBuildVer">
    <vt:lpwstr>3082-12.2.0.13306</vt:lpwstr>
  </property>
</Properties>
</file>